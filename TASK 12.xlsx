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7505C1C3-E590-2A40-B710-4BDD9E8E0330}" xr6:coauthVersionLast="47" xr6:coauthVersionMax="47" xr10:uidLastSave="{00000000-0000-0000-0000-000000000000}"/>
  <bookViews>
    <workbookView xWindow="0" yWindow="500" windowWidth="28800" windowHeight="16500" xr2:uid="{D4794F3C-96A5-FB45-9487-6FB661A6D8CE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R85" i="1" l="1"/>
  <c r="S85" i="1" s="1"/>
  <c r="P85" i="1"/>
  <c r="O85" i="1"/>
  <c r="N85" i="1"/>
  <c r="M85" i="1"/>
  <c r="R84" i="1"/>
  <c r="S84" i="1" s="1"/>
  <c r="Q84" i="1" a="1"/>
  <c r="Q84" i="1" s="1"/>
  <c r="P84" i="1"/>
  <c r="O84" i="1"/>
  <c r="N84" i="1"/>
  <c r="M84" i="1"/>
  <c r="R83" i="1"/>
  <c r="S83" i="1" s="1"/>
  <c r="Q83" i="1" a="1"/>
  <c r="Q83" i="1" s="1"/>
  <c r="P83" i="1"/>
  <c r="O83" i="1"/>
  <c r="N83" i="1"/>
  <c r="M83" i="1"/>
  <c r="R82" i="1"/>
  <c r="S82" i="1" s="1"/>
  <c r="Q82" i="1" a="1"/>
  <c r="Q82" i="1" s="1"/>
  <c r="P82" i="1"/>
  <c r="O82" i="1"/>
  <c r="N82" i="1"/>
  <c r="M82" i="1"/>
  <c r="R81" i="1"/>
  <c r="S81" i="1" s="1"/>
  <c r="Q81" i="1" a="1"/>
  <c r="Q81" i="1" s="1"/>
  <c r="P81" i="1"/>
  <c r="O81" i="1"/>
  <c r="N81" i="1"/>
  <c r="M81" i="1"/>
  <c r="R80" i="1"/>
  <c r="S80" i="1" s="1"/>
  <c r="Q80" i="1" a="1"/>
  <c r="Q80" i="1" s="1"/>
  <c r="P80" i="1"/>
  <c r="O80" i="1"/>
  <c r="N80" i="1"/>
  <c r="M80" i="1"/>
  <c r="R79" i="1"/>
  <c r="S79" i="1" s="1"/>
  <c r="Q79" i="1" a="1"/>
  <c r="Q79" i="1" s="1"/>
  <c r="P79" i="1"/>
  <c r="O79" i="1"/>
  <c r="N79" i="1"/>
  <c r="M79" i="1"/>
  <c r="R78" i="1"/>
  <c r="S78" i="1" s="1"/>
  <c r="Q78" i="1" a="1"/>
  <c r="Q78" i="1" s="1"/>
  <c r="P78" i="1"/>
  <c r="O78" i="1"/>
  <c r="N78" i="1"/>
  <c r="M78" i="1"/>
  <c r="R77" i="1"/>
  <c r="S77" i="1" s="1"/>
  <c r="Q77" i="1" a="1"/>
  <c r="Q77" i="1" s="1"/>
  <c r="P77" i="1"/>
  <c r="O77" i="1"/>
  <c r="N77" i="1"/>
  <c r="M77" i="1"/>
  <c r="R76" i="1"/>
  <c r="S76" i="1" s="1"/>
  <c r="Q76" i="1" a="1"/>
  <c r="Q76" i="1" s="1"/>
  <c r="P76" i="1"/>
  <c r="O76" i="1"/>
  <c r="N76" i="1"/>
  <c r="M76" i="1"/>
  <c r="R75" i="1"/>
  <c r="S75" i="1" s="1"/>
  <c r="Q75" i="1" a="1"/>
  <c r="Q75" i="1" s="1"/>
  <c r="P75" i="1"/>
  <c r="O75" i="1"/>
  <c r="N75" i="1"/>
  <c r="M75" i="1"/>
  <c r="R74" i="1"/>
  <c r="S74" i="1" s="1"/>
  <c r="Q74" i="1" a="1"/>
  <c r="Q74" i="1" s="1"/>
  <c r="P74" i="1"/>
  <c r="O74" i="1"/>
  <c r="N74" i="1"/>
  <c r="M74" i="1"/>
  <c r="R73" i="1"/>
  <c r="S73" i="1" s="1"/>
  <c r="Q73" i="1" a="1"/>
  <c r="Q73" i="1" s="1"/>
  <c r="P73" i="1"/>
  <c r="O73" i="1"/>
  <c r="N73" i="1"/>
  <c r="M73" i="1"/>
  <c r="R72" i="1"/>
  <c r="S72" i="1" s="1"/>
  <c r="Q72" i="1" a="1"/>
  <c r="Q72" i="1" s="1"/>
  <c r="P72" i="1"/>
  <c r="O72" i="1"/>
  <c r="N72" i="1"/>
  <c r="M72" i="1"/>
  <c r="R71" i="1"/>
  <c r="S71" i="1" s="1"/>
  <c r="Q71" i="1" a="1"/>
  <c r="Q71" i="1" s="1"/>
  <c r="P71" i="1"/>
  <c r="O71" i="1"/>
  <c r="N71" i="1"/>
  <c r="M71" i="1"/>
  <c r="R70" i="1"/>
  <c r="S70" i="1" s="1"/>
  <c r="Q70" i="1" a="1"/>
  <c r="Q70" i="1" s="1"/>
  <c r="P70" i="1"/>
  <c r="O70" i="1"/>
  <c r="N70" i="1"/>
  <c r="M70" i="1"/>
  <c r="R69" i="1"/>
  <c r="S69" i="1" s="1"/>
  <c r="Q69" i="1" a="1"/>
  <c r="Q69" i="1" s="1"/>
  <c r="P69" i="1"/>
  <c r="O69" i="1"/>
  <c r="N69" i="1"/>
  <c r="M69" i="1"/>
  <c r="R68" i="1"/>
  <c r="S68" i="1" s="1"/>
  <c r="Q68" i="1" a="1"/>
  <c r="Q68" i="1" s="1"/>
  <c r="P68" i="1"/>
  <c r="O68" i="1"/>
  <c r="N68" i="1"/>
  <c r="M68" i="1"/>
  <c r="R67" i="1"/>
  <c r="S67" i="1" s="1"/>
  <c r="Q67" i="1" a="1"/>
  <c r="Q67" i="1" s="1"/>
  <c r="P67" i="1"/>
  <c r="O67" i="1"/>
  <c r="N67" i="1"/>
  <c r="M67" i="1"/>
  <c r="R66" i="1"/>
  <c r="S66" i="1" s="1"/>
  <c r="Q66" i="1" a="1"/>
  <c r="Q66" i="1" s="1"/>
  <c r="P66" i="1"/>
  <c r="O66" i="1"/>
  <c r="N66" i="1"/>
  <c r="M66" i="1"/>
  <c r="R65" i="1"/>
  <c r="S65" i="1" s="1"/>
  <c r="Q65" i="1" a="1"/>
  <c r="Q65" i="1" s="1"/>
  <c r="P65" i="1"/>
  <c r="O65" i="1"/>
  <c r="N65" i="1"/>
  <c r="M65" i="1"/>
  <c r="R64" i="1"/>
  <c r="S64" i="1" s="1"/>
  <c r="Q64" i="1" a="1"/>
  <c r="Q64" i="1" s="1"/>
  <c r="P64" i="1"/>
  <c r="O64" i="1"/>
  <c r="N64" i="1"/>
  <c r="M64" i="1"/>
  <c r="R63" i="1"/>
  <c r="S63" i="1" s="1"/>
  <c r="Q63" i="1" a="1"/>
  <c r="Q63" i="1" s="1"/>
  <c r="P63" i="1"/>
  <c r="O63" i="1"/>
  <c r="N63" i="1"/>
  <c r="M63" i="1"/>
  <c r="R62" i="1"/>
  <c r="S62" i="1" s="1"/>
  <c r="Q62" i="1" a="1"/>
  <c r="Q62" i="1" s="1"/>
  <c r="P62" i="1"/>
  <c r="O62" i="1"/>
  <c r="N62" i="1"/>
  <c r="M62" i="1"/>
  <c r="R61" i="1"/>
  <c r="S61" i="1" s="1"/>
  <c r="Q61" i="1" a="1"/>
  <c r="Q61" i="1" s="1"/>
  <c r="P61" i="1"/>
  <c r="O61" i="1"/>
  <c r="N61" i="1"/>
  <c r="M61" i="1"/>
  <c r="R60" i="1"/>
  <c r="S60" i="1" s="1"/>
  <c r="Q60" i="1" a="1"/>
  <c r="Q60" i="1" s="1"/>
  <c r="P60" i="1"/>
  <c r="O60" i="1"/>
  <c r="N60" i="1"/>
  <c r="M60" i="1"/>
  <c r="R59" i="1"/>
  <c r="S59" i="1" s="1"/>
  <c r="Q59" i="1" a="1"/>
  <c r="Q59" i="1" s="1"/>
  <c r="P59" i="1"/>
  <c r="O59" i="1"/>
  <c r="N59" i="1"/>
  <c r="M59" i="1"/>
  <c r="R58" i="1"/>
  <c r="S58" i="1" s="1"/>
  <c r="Q58" i="1" a="1"/>
  <c r="Q58" i="1" s="1"/>
  <c r="P58" i="1"/>
  <c r="O58" i="1"/>
  <c r="N58" i="1"/>
  <c r="M58" i="1"/>
  <c r="R57" i="1"/>
  <c r="S57" i="1" s="1"/>
  <c r="Q57" i="1" a="1"/>
  <c r="Q57" i="1" s="1"/>
  <c r="P57" i="1"/>
  <c r="O57" i="1"/>
  <c r="N57" i="1"/>
  <c r="M57" i="1"/>
  <c r="R56" i="1"/>
  <c r="S56" i="1" s="1"/>
  <c r="Q56" i="1" a="1"/>
  <c r="Q56" i="1" s="1"/>
  <c r="P56" i="1"/>
  <c r="O56" i="1"/>
  <c r="N56" i="1"/>
  <c r="M56" i="1"/>
  <c r="R55" i="1"/>
  <c r="S55" i="1" s="1"/>
  <c r="Q55" i="1" a="1"/>
  <c r="Q55" i="1" s="1"/>
  <c r="P55" i="1"/>
  <c r="O55" i="1"/>
  <c r="N55" i="1"/>
  <c r="M55" i="1"/>
  <c r="R54" i="1"/>
  <c r="S54" i="1" s="1"/>
  <c r="Q54" i="1" a="1"/>
  <c r="Q54" i="1" s="1"/>
  <c r="P54" i="1"/>
  <c r="O54" i="1"/>
  <c r="N54" i="1"/>
  <c r="M54" i="1"/>
  <c r="R53" i="1"/>
  <c r="S53" i="1" s="1"/>
  <c r="Q53" i="1" a="1"/>
  <c r="Q53" i="1" s="1"/>
  <c r="P53" i="1"/>
  <c r="O53" i="1"/>
  <c r="N53" i="1"/>
  <c r="M53" i="1"/>
  <c r="R52" i="1"/>
  <c r="S52" i="1" s="1"/>
  <c r="Q52" i="1" a="1"/>
  <c r="Q52" i="1" s="1"/>
  <c r="P52" i="1"/>
  <c r="O52" i="1"/>
  <c r="N52" i="1"/>
  <c r="M52" i="1"/>
  <c r="R51" i="1"/>
  <c r="S51" i="1" s="1"/>
  <c r="Q51" i="1" a="1"/>
  <c r="Q51" i="1" s="1"/>
  <c r="P51" i="1"/>
  <c r="O51" i="1"/>
  <c r="N51" i="1"/>
  <c r="M51" i="1"/>
  <c r="R50" i="1"/>
  <c r="S50" i="1" s="1"/>
  <c r="Q50" i="1" a="1"/>
  <c r="Q50" i="1" s="1"/>
  <c r="P50" i="1"/>
  <c r="O50" i="1"/>
  <c r="N50" i="1"/>
  <c r="M50" i="1"/>
  <c r="R49" i="1"/>
  <c r="S49" i="1" s="1"/>
  <c r="Q49" i="1" a="1"/>
  <c r="Q49" i="1" s="1"/>
  <c r="P49" i="1"/>
  <c r="O49" i="1"/>
  <c r="N49" i="1"/>
  <c r="M49" i="1"/>
  <c r="R48" i="1"/>
  <c r="S48" i="1" s="1"/>
  <c r="Q48" i="1" a="1"/>
  <c r="Q48" i="1" s="1"/>
  <c r="P48" i="1"/>
  <c r="O48" i="1"/>
  <c r="N48" i="1"/>
  <c r="M48" i="1"/>
  <c r="R47" i="1"/>
  <c r="S47" i="1" s="1"/>
  <c r="Q47" i="1" a="1"/>
  <c r="Q47" i="1" s="1"/>
  <c r="P47" i="1"/>
  <c r="O47" i="1"/>
  <c r="N47" i="1"/>
  <c r="M47" i="1"/>
  <c r="R46" i="1"/>
  <c r="S46" i="1" s="1"/>
  <c r="Q46" i="1" a="1"/>
  <c r="Q46" i="1" s="1"/>
  <c r="P46" i="1"/>
  <c r="O46" i="1"/>
  <c r="N46" i="1"/>
  <c r="M46" i="1"/>
  <c r="R45" i="1"/>
  <c r="S45" i="1" s="1"/>
  <c r="Q45" i="1" a="1"/>
  <c r="Q45" i="1" s="1"/>
  <c r="P45" i="1"/>
  <c r="O45" i="1"/>
  <c r="N45" i="1"/>
  <c r="M45" i="1"/>
  <c r="R44" i="1"/>
  <c r="S44" i="1" s="1"/>
  <c r="Q44" i="1" a="1"/>
  <c r="Q44" i="1" s="1"/>
  <c r="P44" i="1"/>
  <c r="O44" i="1"/>
  <c r="N44" i="1"/>
  <c r="M44" i="1"/>
  <c r="R43" i="1"/>
  <c r="S43" i="1" s="1"/>
  <c r="Q43" i="1" a="1"/>
  <c r="Q43" i="1" s="1"/>
  <c r="P43" i="1"/>
  <c r="O43" i="1"/>
  <c r="N43" i="1"/>
  <c r="M43" i="1"/>
  <c r="R42" i="1"/>
  <c r="S42" i="1" s="1"/>
  <c r="Q42" i="1" a="1"/>
  <c r="Q42" i="1" s="1"/>
  <c r="P42" i="1"/>
  <c r="O42" i="1"/>
  <c r="N42" i="1"/>
  <c r="M42" i="1"/>
  <c r="R41" i="1"/>
  <c r="S41" i="1" s="1"/>
  <c r="Q41" i="1" a="1"/>
  <c r="Q41" i="1" s="1"/>
  <c r="P41" i="1"/>
  <c r="O41" i="1"/>
  <c r="N41" i="1"/>
  <c r="M41" i="1"/>
  <c r="R40" i="1"/>
  <c r="S40" i="1" s="1"/>
  <c r="Q40" i="1" a="1"/>
  <c r="Q40" i="1" s="1"/>
  <c r="P40" i="1"/>
  <c r="O40" i="1"/>
  <c r="N40" i="1"/>
  <c r="M40" i="1"/>
  <c r="R39" i="1"/>
  <c r="S39" i="1" s="1"/>
  <c r="Q39" i="1" a="1"/>
  <c r="Q39" i="1" s="1"/>
  <c r="P39" i="1"/>
  <c r="O39" i="1"/>
  <c r="N39" i="1"/>
  <c r="M39" i="1"/>
  <c r="R38" i="1"/>
  <c r="S38" i="1" s="1"/>
  <c r="Q38" i="1" a="1"/>
  <c r="Q38" i="1" s="1"/>
  <c r="P38" i="1"/>
  <c r="O38" i="1"/>
  <c r="N38" i="1"/>
  <c r="M38" i="1"/>
  <c r="R37" i="1"/>
  <c r="S37" i="1" s="1"/>
  <c r="Q37" i="1" a="1"/>
  <c r="Q37" i="1" s="1"/>
  <c r="P37" i="1"/>
  <c r="O37" i="1"/>
  <c r="N37" i="1"/>
  <c r="M37" i="1"/>
  <c r="R36" i="1"/>
  <c r="S36" i="1" s="1"/>
  <c r="Q36" i="1"/>
  <c r="Q36" i="1" a="1"/>
  <c r="P36" i="1"/>
  <c r="O36" i="1"/>
  <c r="N36" i="1"/>
  <c r="M36" i="1"/>
  <c r="R35" i="1"/>
  <c r="S35" i="1" s="1"/>
  <c r="Q35" i="1" a="1"/>
  <c r="Q35" i="1" s="1"/>
  <c r="P35" i="1"/>
  <c r="O35" i="1"/>
  <c r="N35" i="1"/>
  <c r="M35" i="1"/>
  <c r="R34" i="1"/>
  <c r="S34" i="1" s="1"/>
  <c r="Q34" i="1" a="1"/>
  <c r="Q34" i="1" s="1"/>
  <c r="P34" i="1"/>
  <c r="O34" i="1"/>
  <c r="N34" i="1"/>
  <c r="M34" i="1"/>
  <c r="R33" i="1"/>
  <c r="S33" i="1" s="1"/>
  <c r="Q33" i="1" a="1"/>
  <c r="Q33" i="1" s="1"/>
  <c r="P33" i="1"/>
  <c r="O33" i="1"/>
  <c r="N33" i="1"/>
  <c r="M33" i="1"/>
  <c r="R32" i="1"/>
  <c r="S32" i="1" s="1"/>
  <c r="Q32" i="1" a="1"/>
  <c r="Q32" i="1" s="1"/>
  <c r="P32" i="1"/>
  <c r="O32" i="1"/>
  <c r="N32" i="1"/>
  <c r="M32" i="1"/>
  <c r="R31" i="1"/>
  <c r="S31" i="1" s="1"/>
  <c r="Q31" i="1" a="1"/>
  <c r="Q31" i="1" s="1"/>
  <c r="P31" i="1"/>
  <c r="O31" i="1"/>
  <c r="N31" i="1"/>
  <c r="M31" i="1"/>
  <c r="R30" i="1"/>
  <c r="S30" i="1" s="1"/>
  <c r="Q30" i="1" a="1"/>
  <c r="Q30" i="1" s="1"/>
  <c r="P30" i="1"/>
  <c r="O30" i="1"/>
  <c r="N30" i="1"/>
  <c r="M30" i="1"/>
  <c r="R29" i="1"/>
  <c r="S29" i="1" s="1"/>
  <c r="Q29" i="1" a="1"/>
  <c r="Q29" i="1" s="1"/>
  <c r="P29" i="1"/>
  <c r="O29" i="1"/>
  <c r="N29" i="1"/>
  <c r="M29" i="1"/>
  <c r="R28" i="1"/>
  <c r="S28" i="1" s="1"/>
  <c r="Q28" i="1" a="1"/>
  <c r="Q28" i="1" s="1"/>
  <c r="P28" i="1"/>
  <c r="O28" i="1"/>
  <c r="N28" i="1"/>
  <c r="M28" i="1"/>
  <c r="R27" i="1"/>
  <c r="S27" i="1" s="1"/>
  <c r="Q27" i="1" a="1"/>
  <c r="Q27" i="1" s="1"/>
  <c r="P27" i="1"/>
  <c r="O27" i="1"/>
  <c r="N27" i="1"/>
  <c r="M27" i="1"/>
  <c r="R26" i="1"/>
  <c r="S26" i="1" s="1"/>
  <c r="Q26" i="1" a="1"/>
  <c r="Q26" i="1" s="1"/>
  <c r="P26" i="1"/>
  <c r="O26" i="1"/>
  <c r="N26" i="1"/>
  <c r="M26" i="1"/>
  <c r="R25" i="1"/>
  <c r="S25" i="1" s="1"/>
  <c r="Q25" i="1" a="1"/>
  <c r="Q25" i="1" s="1"/>
  <c r="P25" i="1"/>
  <c r="O25" i="1"/>
  <c r="N25" i="1"/>
  <c r="M25" i="1"/>
  <c r="R24" i="1"/>
  <c r="S24" i="1" s="1"/>
  <c r="Q24" i="1" a="1"/>
  <c r="Q24" i="1" s="1"/>
  <c r="P24" i="1"/>
  <c r="O24" i="1"/>
  <c r="N24" i="1"/>
  <c r="M24" i="1"/>
  <c r="R23" i="1"/>
  <c r="S23" i="1" s="1"/>
  <c r="Q23" i="1" a="1"/>
  <c r="Q23" i="1" s="1"/>
  <c r="P23" i="1"/>
  <c r="O23" i="1"/>
  <c r="N23" i="1"/>
  <c r="M23" i="1"/>
  <c r="R22" i="1"/>
  <c r="S22" i="1" s="1"/>
  <c r="Q22" i="1" a="1"/>
  <c r="Q22" i="1" s="1"/>
  <c r="P22" i="1"/>
  <c r="O22" i="1"/>
  <c r="N22" i="1"/>
  <c r="M22" i="1"/>
  <c r="R21" i="1"/>
  <c r="S21" i="1" s="1"/>
  <c r="Q21" i="1" a="1"/>
  <c r="Q21" i="1" s="1"/>
  <c r="P21" i="1"/>
  <c r="O21" i="1"/>
  <c r="N21" i="1"/>
  <c r="M21" i="1"/>
  <c r="R20" i="1"/>
  <c r="S20" i="1" s="1"/>
  <c r="Q20" i="1" a="1"/>
  <c r="Q20" i="1" s="1"/>
  <c r="P20" i="1"/>
  <c r="O20" i="1"/>
  <c r="N20" i="1"/>
  <c r="M20" i="1"/>
  <c r="R19" i="1"/>
  <c r="S19" i="1" s="1"/>
  <c r="Q19" i="1" a="1"/>
  <c r="Q19" i="1" s="1"/>
  <c r="P19" i="1"/>
  <c r="O19" i="1"/>
  <c r="N19" i="1"/>
  <c r="M19" i="1"/>
  <c r="R18" i="1"/>
  <c r="S18" i="1" s="1"/>
  <c r="Q18" i="1" a="1"/>
  <c r="Q18" i="1" s="1"/>
  <c r="P18" i="1"/>
  <c r="O18" i="1"/>
  <c r="N18" i="1"/>
  <c r="M18" i="1"/>
  <c r="R17" i="1"/>
  <c r="S17" i="1" s="1"/>
  <c r="Q17" i="1" a="1"/>
  <c r="Q17" i="1" s="1"/>
  <c r="P17" i="1"/>
  <c r="O17" i="1"/>
  <c r="N17" i="1"/>
  <c r="M17" i="1"/>
  <c r="R16" i="1"/>
  <c r="S16" i="1" s="1"/>
  <c r="Q16" i="1" a="1"/>
  <c r="Q16" i="1" s="1"/>
  <c r="P16" i="1"/>
  <c r="O16" i="1"/>
  <c r="N16" i="1"/>
  <c r="M16" i="1"/>
  <c r="R15" i="1"/>
  <c r="S15" i="1" s="1"/>
  <c r="Q15" i="1" a="1"/>
  <c r="Q15" i="1" s="1"/>
  <c r="P15" i="1"/>
  <c r="O15" i="1"/>
  <c r="N15" i="1"/>
  <c r="M15" i="1"/>
  <c r="R14" i="1"/>
  <c r="S14" i="1" s="1"/>
  <c r="Q14" i="1" a="1"/>
  <c r="Q14" i="1" s="1"/>
  <c r="P14" i="1"/>
  <c r="O14" i="1"/>
  <c r="N14" i="1"/>
  <c r="M14" i="1"/>
  <c r="R13" i="1"/>
  <c r="S13" i="1" s="1"/>
  <c r="Q13" i="1" a="1"/>
  <c r="Q13" i="1" s="1"/>
  <c r="P13" i="1"/>
  <c r="O13" i="1"/>
  <c r="N13" i="1"/>
  <c r="M13" i="1"/>
  <c r="R12" i="1"/>
  <c r="S12" i="1" s="1"/>
  <c r="Q12" i="1" a="1"/>
  <c r="Q12" i="1" s="1"/>
  <c r="P12" i="1"/>
  <c r="O12" i="1"/>
  <c r="N12" i="1"/>
  <c r="M12" i="1"/>
  <c r="R11" i="1"/>
  <c r="S11" i="1" s="1"/>
  <c r="Q11" i="1" a="1"/>
  <c r="Q11" i="1" s="1"/>
  <c r="P11" i="1"/>
  <c r="O11" i="1"/>
  <c r="N11" i="1"/>
  <c r="M11" i="1"/>
  <c r="R10" i="1"/>
  <c r="S10" i="1" s="1"/>
  <c r="Q10" i="1" a="1"/>
  <c r="Q10" i="1" s="1"/>
  <c r="P10" i="1"/>
  <c r="O10" i="1"/>
  <c r="N10" i="1"/>
  <c r="M10" i="1"/>
  <c r="R9" i="1"/>
  <c r="S9" i="1" s="1"/>
  <c r="Q9" i="1" a="1"/>
  <c r="Q9" i="1" s="1"/>
  <c r="P9" i="1"/>
  <c r="O9" i="1"/>
  <c r="N9" i="1"/>
  <c r="M9" i="1"/>
  <c r="R8" i="1"/>
  <c r="S8" i="1" s="1"/>
  <c r="Q8" i="1" a="1"/>
  <c r="Q8" i="1" s="1"/>
  <c r="P8" i="1"/>
  <c r="O8" i="1"/>
  <c r="N8" i="1"/>
  <c r="M8" i="1"/>
  <c r="R7" i="1"/>
  <c r="S7" i="1" s="1"/>
  <c r="Q7" i="1" a="1"/>
  <c r="Q7" i="1" s="1"/>
  <c r="P7" i="1"/>
  <c r="O7" i="1"/>
  <c r="N7" i="1"/>
  <c r="M7" i="1"/>
  <c r="R6" i="1"/>
  <c r="S6" i="1" s="1"/>
  <c r="Q6" i="1" a="1"/>
  <c r="Q6" i="1" s="1"/>
  <c r="P6" i="1"/>
  <c r="O6" i="1"/>
  <c r="N6" i="1"/>
  <c r="M6" i="1"/>
  <c r="R5" i="1"/>
  <c r="S5" i="1" s="1"/>
  <c r="Q5" i="1" a="1"/>
  <c r="Q5" i="1" s="1"/>
  <c r="P5" i="1"/>
  <c r="O5" i="1"/>
  <c r="N5" i="1"/>
  <c r="M5" i="1"/>
  <c r="R4" i="1"/>
  <c r="S4" i="1" s="1"/>
  <c r="Q4" i="1" a="1"/>
  <c r="Q4" i="1" s="1"/>
  <c r="P4" i="1"/>
  <c r="O4" i="1"/>
  <c r="N4" i="1"/>
  <c r="M4" i="1"/>
  <c r="R3" i="1"/>
  <c r="S3" i="1" s="1"/>
  <c r="Q3" i="1" a="1"/>
  <c r="Q3" i="1" s="1"/>
  <c r="P3" i="1"/>
  <c r="O3" i="1"/>
  <c r="N3" i="1"/>
  <c r="M3" i="1"/>
  <c r="R2" i="1"/>
  <c r="S2" i="1" s="1"/>
  <c r="Q2" i="1" a="1"/>
  <c r="Q2" i="1" s="1"/>
  <c r="P2" i="1"/>
  <c r="O2" i="1"/>
  <c r="N2" i="1"/>
  <c r="M2" i="1"/>
  <c r="Y40" i="1" l="1"/>
  <c r="Z40" i="1"/>
  <c r="Y44" i="1"/>
  <c r="Z44" i="1"/>
  <c r="Y48" i="1"/>
  <c r="Z48" i="1"/>
  <c r="Y52" i="1"/>
  <c r="Z52" i="1"/>
  <c r="Y56" i="1"/>
  <c r="Z56" i="1"/>
  <c r="Y60" i="1"/>
  <c r="Z60" i="1"/>
  <c r="Y64" i="1"/>
  <c r="Z64" i="1"/>
  <c r="Y68" i="1"/>
  <c r="Z68" i="1"/>
  <c r="Y72" i="1"/>
  <c r="Z72" i="1"/>
  <c r="Y76" i="1"/>
  <c r="Z76" i="1"/>
  <c r="Y80" i="1"/>
  <c r="Z80" i="1"/>
  <c r="Y84" i="1"/>
  <c r="Z84" i="1"/>
  <c r="Y3" i="1"/>
  <c r="Z3" i="1"/>
  <c r="Y7" i="1"/>
  <c r="Z7" i="1"/>
  <c r="Y11" i="1"/>
  <c r="Z11" i="1"/>
  <c r="Y15" i="1"/>
  <c r="Z15" i="1"/>
  <c r="Y19" i="1"/>
  <c r="Z19" i="1"/>
  <c r="Y23" i="1"/>
  <c r="Z23" i="1"/>
  <c r="Y27" i="1"/>
  <c r="Z27" i="1"/>
  <c r="Y31" i="1"/>
  <c r="Z31" i="1"/>
  <c r="Y35" i="1"/>
  <c r="Z35" i="1"/>
  <c r="Y39" i="1"/>
  <c r="Z39" i="1"/>
  <c r="Y43" i="1"/>
  <c r="Z43" i="1"/>
  <c r="Y47" i="1"/>
  <c r="Z47" i="1"/>
  <c r="Y51" i="1"/>
  <c r="Z51" i="1"/>
  <c r="Y55" i="1"/>
  <c r="Z55" i="1"/>
  <c r="Y59" i="1"/>
  <c r="Z59" i="1"/>
  <c r="Y63" i="1"/>
  <c r="Z63" i="1"/>
  <c r="Y67" i="1"/>
  <c r="Z67" i="1"/>
  <c r="Y71" i="1"/>
  <c r="Z71" i="1"/>
  <c r="Y75" i="1"/>
  <c r="Z75" i="1"/>
  <c r="Y79" i="1"/>
  <c r="Z79" i="1"/>
  <c r="Y83" i="1"/>
  <c r="Z83" i="1"/>
  <c r="Y2" i="1"/>
  <c r="Z2" i="1"/>
  <c r="Y6" i="1"/>
  <c r="Z6" i="1"/>
  <c r="Y10" i="1"/>
  <c r="Z10" i="1"/>
  <c r="Y14" i="1"/>
  <c r="Z14" i="1"/>
  <c r="Y18" i="1"/>
  <c r="Z18" i="1"/>
  <c r="Y22" i="1"/>
  <c r="Z22" i="1"/>
  <c r="Y26" i="1"/>
  <c r="Z26" i="1"/>
  <c r="Y30" i="1"/>
  <c r="Z30" i="1"/>
  <c r="Y34" i="1"/>
  <c r="Z34" i="1"/>
  <c r="Y38" i="1"/>
  <c r="Z38" i="1"/>
  <c r="Y42" i="1"/>
  <c r="Z42" i="1"/>
  <c r="Y46" i="1"/>
  <c r="Z46" i="1"/>
  <c r="Y50" i="1"/>
  <c r="Z50" i="1"/>
  <c r="Y54" i="1"/>
  <c r="Z54" i="1"/>
  <c r="Y58" i="1"/>
  <c r="Z58" i="1"/>
  <c r="Y62" i="1"/>
  <c r="Z62" i="1"/>
  <c r="Y66" i="1"/>
  <c r="Z66" i="1"/>
  <c r="Y70" i="1"/>
  <c r="Z70" i="1"/>
  <c r="Y74" i="1"/>
  <c r="Z74" i="1"/>
  <c r="Y78" i="1"/>
  <c r="Z78" i="1"/>
  <c r="Y82" i="1"/>
  <c r="Z82" i="1"/>
  <c r="Y5" i="1"/>
  <c r="Z5" i="1"/>
  <c r="Y9" i="1"/>
  <c r="Z9" i="1"/>
  <c r="Y13" i="1"/>
  <c r="Z13" i="1"/>
  <c r="Y17" i="1"/>
  <c r="Z17" i="1"/>
  <c r="Y21" i="1"/>
  <c r="Z21" i="1"/>
  <c r="Y25" i="1"/>
  <c r="Z25" i="1"/>
  <c r="Y29" i="1"/>
  <c r="Z29" i="1"/>
  <c r="Y33" i="1"/>
  <c r="Z33" i="1"/>
  <c r="Y37" i="1"/>
  <c r="Z37" i="1"/>
  <c r="Y41" i="1"/>
  <c r="Z41" i="1"/>
  <c r="Y45" i="1"/>
  <c r="Z45" i="1"/>
  <c r="Y49" i="1"/>
  <c r="Z49" i="1"/>
  <c r="Y53" i="1"/>
  <c r="Z53" i="1"/>
  <c r="Y57" i="1"/>
  <c r="Z57" i="1"/>
  <c r="Y61" i="1"/>
  <c r="Z61" i="1"/>
  <c r="Y65" i="1"/>
  <c r="Z65" i="1"/>
  <c r="Y69" i="1"/>
  <c r="Z69" i="1"/>
  <c r="Y73" i="1"/>
  <c r="Z73" i="1"/>
  <c r="Y77" i="1"/>
  <c r="Z77" i="1"/>
  <c r="Y81" i="1"/>
  <c r="Z81" i="1"/>
  <c r="Y85" i="1"/>
  <c r="Z85" i="1"/>
  <c r="Y4" i="1"/>
  <c r="Z4" i="1"/>
  <c r="Y8" i="1"/>
  <c r="Z8" i="1"/>
  <c r="Y12" i="1"/>
  <c r="Z12" i="1"/>
  <c r="Y16" i="1"/>
  <c r="Z16" i="1"/>
  <c r="Y20" i="1"/>
  <c r="Z20" i="1"/>
  <c r="Y24" i="1"/>
  <c r="Z24" i="1"/>
  <c r="Y28" i="1"/>
  <c r="Z28" i="1"/>
  <c r="Y32" i="1"/>
  <c r="Z32" i="1"/>
  <c r="Y36" i="1"/>
  <c r="Z36" i="1"/>
  <c r="W39" i="1"/>
  <c r="X39" i="1"/>
  <c r="W43" i="1"/>
  <c r="X43" i="1"/>
  <c r="W47" i="1"/>
  <c r="X47" i="1"/>
  <c r="W51" i="1"/>
  <c r="X51" i="1"/>
  <c r="W55" i="1"/>
  <c r="X55" i="1"/>
  <c r="W59" i="1"/>
  <c r="X59" i="1"/>
  <c r="W63" i="1"/>
  <c r="X63" i="1"/>
  <c r="W67" i="1"/>
  <c r="X67" i="1"/>
  <c r="W71" i="1"/>
  <c r="X71" i="1"/>
  <c r="W75" i="1"/>
  <c r="X75" i="1"/>
  <c r="W79" i="1"/>
  <c r="X79" i="1"/>
  <c r="W83" i="1"/>
  <c r="X83" i="1"/>
  <c r="W3" i="1"/>
  <c r="X3" i="1"/>
  <c r="W7" i="1"/>
  <c r="X7" i="1"/>
  <c r="W11" i="1"/>
  <c r="X11" i="1"/>
  <c r="W15" i="1"/>
  <c r="X15" i="1"/>
  <c r="W23" i="1"/>
  <c r="X23" i="1"/>
  <c r="W31" i="1"/>
  <c r="X31" i="1"/>
  <c r="W35" i="1"/>
  <c r="X35" i="1"/>
  <c r="W38" i="1"/>
  <c r="X38" i="1"/>
  <c r="W42" i="1"/>
  <c r="X42" i="1"/>
  <c r="W46" i="1"/>
  <c r="X46" i="1"/>
  <c r="W50" i="1"/>
  <c r="X50" i="1"/>
  <c r="W54" i="1"/>
  <c r="X54" i="1"/>
  <c r="W58" i="1"/>
  <c r="X58" i="1"/>
  <c r="W62" i="1"/>
  <c r="X62" i="1"/>
  <c r="W66" i="1"/>
  <c r="X66" i="1"/>
  <c r="W70" i="1"/>
  <c r="X70" i="1"/>
  <c r="W74" i="1"/>
  <c r="X74" i="1"/>
  <c r="W78" i="1"/>
  <c r="X78" i="1"/>
  <c r="W82" i="1"/>
  <c r="X82" i="1"/>
  <c r="W19" i="1"/>
  <c r="X19" i="1"/>
  <c r="W27" i="1"/>
  <c r="X27" i="1"/>
  <c r="W2" i="1"/>
  <c r="X2" i="1"/>
  <c r="W6" i="1"/>
  <c r="X6" i="1"/>
  <c r="W10" i="1"/>
  <c r="X10" i="1"/>
  <c r="W14" i="1"/>
  <c r="X14" i="1"/>
  <c r="W18" i="1"/>
  <c r="X18" i="1"/>
  <c r="W22" i="1"/>
  <c r="X22" i="1"/>
  <c r="W26" i="1"/>
  <c r="X26" i="1"/>
  <c r="W30" i="1"/>
  <c r="X30" i="1"/>
  <c r="W34" i="1"/>
  <c r="X34" i="1"/>
  <c r="W5" i="1"/>
  <c r="X5" i="1"/>
  <c r="W9" i="1"/>
  <c r="X9" i="1"/>
  <c r="W13" i="1"/>
  <c r="X13" i="1"/>
  <c r="W17" i="1"/>
  <c r="X17" i="1"/>
  <c r="W21" i="1"/>
  <c r="X21" i="1"/>
  <c r="W25" i="1"/>
  <c r="X25" i="1"/>
  <c r="W29" i="1"/>
  <c r="X29" i="1"/>
  <c r="W33" i="1"/>
  <c r="X33" i="1"/>
  <c r="W37" i="1"/>
  <c r="X37" i="1"/>
  <c r="W41" i="1"/>
  <c r="X41" i="1"/>
  <c r="W45" i="1"/>
  <c r="X45" i="1"/>
  <c r="W49" i="1"/>
  <c r="X49" i="1"/>
  <c r="W53" i="1"/>
  <c r="X53" i="1"/>
  <c r="W57" i="1"/>
  <c r="X57" i="1"/>
  <c r="W61" i="1"/>
  <c r="X61" i="1"/>
  <c r="W65" i="1"/>
  <c r="X65" i="1"/>
  <c r="W69" i="1"/>
  <c r="X69" i="1"/>
  <c r="W73" i="1"/>
  <c r="X73" i="1"/>
  <c r="W77" i="1"/>
  <c r="X77" i="1"/>
  <c r="W81" i="1"/>
  <c r="X81" i="1"/>
  <c r="W85" i="1"/>
  <c r="X85" i="1"/>
  <c r="W4" i="1"/>
  <c r="X4" i="1"/>
  <c r="W8" i="1"/>
  <c r="X8" i="1"/>
  <c r="W12" i="1"/>
  <c r="X12" i="1"/>
  <c r="W16" i="1"/>
  <c r="X16" i="1"/>
  <c r="W20" i="1"/>
  <c r="X20" i="1"/>
  <c r="W24" i="1"/>
  <c r="X24" i="1"/>
  <c r="W28" i="1"/>
  <c r="X28" i="1"/>
  <c r="W32" i="1"/>
  <c r="X32" i="1"/>
  <c r="W36" i="1"/>
  <c r="X36" i="1"/>
  <c r="W40" i="1"/>
  <c r="X40" i="1"/>
  <c r="W44" i="1"/>
  <c r="X44" i="1"/>
  <c r="W48" i="1"/>
  <c r="X48" i="1"/>
  <c r="W52" i="1"/>
  <c r="X52" i="1"/>
  <c r="W56" i="1"/>
  <c r="X56" i="1"/>
  <c r="W60" i="1"/>
  <c r="X60" i="1"/>
  <c r="W64" i="1"/>
  <c r="X64" i="1"/>
  <c r="W68" i="1"/>
  <c r="X68" i="1"/>
  <c r="W72" i="1"/>
  <c r="X72" i="1"/>
  <c r="W76" i="1"/>
  <c r="X76" i="1"/>
  <c r="W80" i="1"/>
  <c r="X80" i="1"/>
  <c r="W84" i="1"/>
  <c r="X84" i="1"/>
  <c r="L40" i="1"/>
  <c r="V40" i="1"/>
  <c r="L44" i="1"/>
  <c r="V44" i="1"/>
  <c r="L48" i="1"/>
  <c r="V48" i="1"/>
  <c r="L52" i="1"/>
  <c r="V52" i="1"/>
  <c r="L56" i="1"/>
  <c r="V56" i="1"/>
  <c r="L60" i="1"/>
  <c r="V60" i="1"/>
  <c r="L64" i="1"/>
  <c r="V64" i="1"/>
  <c r="L68" i="1"/>
  <c r="V68" i="1"/>
  <c r="L72" i="1"/>
  <c r="V72" i="1"/>
  <c r="L76" i="1"/>
  <c r="V76" i="1"/>
  <c r="L80" i="1"/>
  <c r="V80" i="1"/>
  <c r="L84" i="1"/>
  <c r="V84" i="1"/>
  <c r="L39" i="1"/>
  <c r="V39" i="1"/>
  <c r="L43" i="1"/>
  <c r="V43" i="1"/>
  <c r="L47" i="1"/>
  <c r="V47" i="1"/>
  <c r="L51" i="1"/>
  <c r="V51" i="1"/>
  <c r="L55" i="1"/>
  <c r="V55" i="1"/>
  <c r="L59" i="1"/>
  <c r="V59" i="1"/>
  <c r="L63" i="1"/>
  <c r="V63" i="1"/>
  <c r="L67" i="1"/>
  <c r="V67" i="1"/>
  <c r="L71" i="1"/>
  <c r="V71" i="1"/>
  <c r="L75" i="1"/>
  <c r="V75" i="1"/>
  <c r="L79" i="1"/>
  <c r="V79" i="1"/>
  <c r="L83" i="1"/>
  <c r="V83" i="1"/>
  <c r="L4" i="1"/>
  <c r="V4" i="1"/>
  <c r="L8" i="1"/>
  <c r="V8" i="1"/>
  <c r="L12" i="1"/>
  <c r="V12" i="1"/>
  <c r="L16" i="1"/>
  <c r="V16" i="1"/>
  <c r="L20" i="1"/>
  <c r="V20" i="1"/>
  <c r="L24" i="1"/>
  <c r="V24" i="1"/>
  <c r="L28" i="1"/>
  <c r="V28" i="1"/>
  <c r="L32" i="1"/>
  <c r="V32" i="1"/>
  <c r="L36" i="1"/>
  <c r="V36" i="1"/>
  <c r="L3" i="1"/>
  <c r="V3" i="1"/>
  <c r="L7" i="1"/>
  <c r="V7" i="1"/>
  <c r="L11" i="1"/>
  <c r="V11" i="1"/>
  <c r="L15" i="1"/>
  <c r="V15" i="1"/>
  <c r="L19" i="1"/>
  <c r="V19" i="1"/>
  <c r="L23" i="1"/>
  <c r="V23" i="1"/>
  <c r="L27" i="1"/>
  <c r="V27" i="1"/>
  <c r="L31" i="1"/>
  <c r="V31" i="1"/>
  <c r="L35" i="1"/>
  <c r="V35" i="1"/>
  <c r="L2" i="1"/>
  <c r="V2" i="1"/>
  <c r="L6" i="1"/>
  <c r="V6" i="1"/>
  <c r="L10" i="1"/>
  <c r="V10" i="1"/>
  <c r="L14" i="1"/>
  <c r="V14" i="1"/>
  <c r="L18" i="1"/>
  <c r="V18" i="1"/>
  <c r="L22" i="1"/>
  <c r="V22" i="1"/>
  <c r="L26" i="1"/>
  <c r="V26" i="1"/>
  <c r="L30" i="1"/>
  <c r="V30" i="1"/>
  <c r="L34" i="1"/>
  <c r="V34" i="1"/>
  <c r="L38" i="1"/>
  <c r="V38" i="1"/>
  <c r="L42" i="1"/>
  <c r="V42" i="1"/>
  <c r="L46" i="1"/>
  <c r="V46" i="1"/>
  <c r="L50" i="1"/>
  <c r="V50" i="1"/>
  <c r="L54" i="1"/>
  <c r="V54" i="1"/>
  <c r="L58" i="1"/>
  <c r="V58" i="1"/>
  <c r="L62" i="1"/>
  <c r="V62" i="1"/>
  <c r="L66" i="1"/>
  <c r="V66" i="1"/>
  <c r="L70" i="1"/>
  <c r="V70" i="1"/>
  <c r="L74" i="1"/>
  <c r="V74" i="1"/>
  <c r="L78" i="1"/>
  <c r="V78" i="1"/>
  <c r="L82" i="1"/>
  <c r="V82" i="1"/>
  <c r="L5" i="1"/>
  <c r="V5" i="1"/>
  <c r="L9" i="1"/>
  <c r="V9" i="1"/>
  <c r="L13" i="1"/>
  <c r="V13" i="1"/>
  <c r="L17" i="1"/>
  <c r="V17" i="1"/>
  <c r="L21" i="1"/>
  <c r="V21" i="1"/>
  <c r="L25" i="1"/>
  <c r="V25" i="1"/>
  <c r="L29" i="1"/>
  <c r="V29" i="1"/>
  <c r="L33" i="1"/>
  <c r="V33" i="1"/>
  <c r="L37" i="1"/>
  <c r="V37" i="1"/>
  <c r="L41" i="1"/>
  <c r="V41" i="1"/>
  <c r="L45" i="1"/>
  <c r="V45" i="1"/>
  <c r="L49" i="1"/>
  <c r="V49" i="1"/>
  <c r="L53" i="1"/>
  <c r="V53" i="1"/>
  <c r="L57" i="1"/>
  <c r="V57" i="1"/>
  <c r="L61" i="1"/>
  <c r="V61" i="1"/>
  <c r="L65" i="1"/>
  <c r="V65" i="1"/>
  <c r="L69" i="1"/>
  <c r="V69" i="1"/>
  <c r="L73" i="1"/>
  <c r="V73" i="1"/>
  <c r="L77" i="1"/>
  <c r="V77" i="1"/>
  <c r="L81" i="1"/>
  <c r="V81" i="1"/>
  <c r="L85" i="1"/>
  <c r="V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<sst xmlns="http://schemas.openxmlformats.org/spreadsheetml/2006/main" count="537" uniqueCount="206">
  <si>
    <t>Employee ID</t>
  </si>
  <si>
    <t>Name</t>
  </si>
  <si>
    <t>TEXT TO COLUMN</t>
  </si>
  <si>
    <t>DEPARTMENT</t>
  </si>
  <si>
    <t>Country</t>
  </si>
  <si>
    <t>Salary</t>
  </si>
  <si>
    <t>Date of Joining</t>
  </si>
  <si>
    <t>Performance Rating</t>
  </si>
  <si>
    <t>Gender</t>
  </si>
  <si>
    <t>C</t>
  </si>
  <si>
    <t>Column1</t>
  </si>
  <si>
    <t>FLASH FILL</t>
  </si>
  <si>
    <t>PERFORMANCE RATING2</t>
  </si>
  <si>
    <t>COUNTRY2</t>
  </si>
  <si>
    <t>NAME CLEANED</t>
  </si>
  <si>
    <t>DATE OF JOINING2</t>
  </si>
  <si>
    <t>GENDER CLEANED</t>
  </si>
  <si>
    <t>SALARY CLEANED</t>
  </si>
  <si>
    <t>STATUS</t>
  </si>
  <si>
    <t>EMP1000</t>
  </si>
  <si>
    <t>Finance</t>
  </si>
  <si>
    <t>N/A</t>
  </si>
  <si>
    <t>Unknown</t>
  </si>
  <si>
    <t>invalid_email</t>
  </si>
  <si>
    <t>EMP1001</t>
  </si>
  <si>
    <t>Eve</t>
  </si>
  <si>
    <t>Adams</t>
  </si>
  <si>
    <t>Hr</t>
  </si>
  <si>
    <t>Germany</t>
  </si>
  <si>
    <t>Other</t>
  </si>
  <si>
    <t>user106@example.com</t>
  </si>
  <si>
    <t>EMP1002</t>
  </si>
  <si>
    <t>Alice</t>
  </si>
  <si>
    <t>Brown</t>
  </si>
  <si>
    <t>user176@example.com</t>
  </si>
  <si>
    <t>EMP1007</t>
  </si>
  <si>
    <t>Chris</t>
  </si>
  <si>
    <t>Lee</t>
  </si>
  <si>
    <t>Marketing</t>
  </si>
  <si>
    <t>user26@example.com</t>
  </si>
  <si>
    <t>EMP1013</t>
  </si>
  <si>
    <t>Sam</t>
  </si>
  <si>
    <t>Wilson</t>
  </si>
  <si>
    <t>India</t>
  </si>
  <si>
    <t>user180@example.com</t>
  </si>
  <si>
    <t>EMP1015</t>
  </si>
  <si>
    <t>It</t>
  </si>
  <si>
    <t>user3@example.com</t>
  </si>
  <si>
    <t>EMP1016</t>
  </si>
  <si>
    <t>Bob</t>
  </si>
  <si>
    <t>Johnson</t>
  </si>
  <si>
    <t>user64@example.com</t>
  </si>
  <si>
    <t>EMP1017</t>
  </si>
  <si>
    <t>Jane</t>
  </si>
  <si>
    <t>Smith</t>
  </si>
  <si>
    <t>Australia</t>
  </si>
  <si>
    <t>user38@example.com</t>
  </si>
  <si>
    <t>EMP1018</t>
  </si>
  <si>
    <t>UK</t>
  </si>
  <si>
    <t>user96@example.com</t>
  </si>
  <si>
    <t>EMP1020</t>
  </si>
  <si>
    <t>USA</t>
  </si>
  <si>
    <t>user200@example.com</t>
  </si>
  <si>
    <t>EMP1021</t>
  </si>
  <si>
    <t>user77@example.com</t>
  </si>
  <si>
    <t>EMP1022</t>
  </si>
  <si>
    <t>user128@example.com</t>
  </si>
  <si>
    <t>EMP1024</t>
  </si>
  <si>
    <t>user122@example.com</t>
  </si>
  <si>
    <t>EMP1025</t>
  </si>
  <si>
    <t>user41@example.com</t>
  </si>
  <si>
    <t>EMP1027</t>
  </si>
  <si>
    <t>user103@example.com</t>
  </si>
  <si>
    <t>EMP1029</t>
  </si>
  <si>
    <t>user83@example.com</t>
  </si>
  <si>
    <t>EMP1030</t>
  </si>
  <si>
    <t>user109@example.com</t>
  </si>
  <si>
    <t>EMP1032</t>
  </si>
  <si>
    <t>user190@example.com</t>
  </si>
  <si>
    <t>EMP1034</t>
  </si>
  <si>
    <t>John</t>
  </si>
  <si>
    <t>Doe</t>
  </si>
  <si>
    <t>Sales</t>
  </si>
  <si>
    <t>user198@example.com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</si>
  <si>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</si>
  <si>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</si>
  <si>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</si>
  <si>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</si>
  <si>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</si>
  <si>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</si>
  <si>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</si>
  <si>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</si>
  <si>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</si>
  <si>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</si>
  <si>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</si>
  <si>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</si>
  <si>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</si>
  <si>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</si>
  <si>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</si>
  <si>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</si>
  <si>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user24@example.com</t>
  </si>
  <si>
    <t>EMP1051</t>
  </si>
  <si>
    <t>user59@example.com</t>
  </si>
  <si>
    <t>EMP1052</t>
  </si>
  <si>
    <t>user152@example.com</t>
  </si>
  <si>
    <t>EMP1054</t>
  </si>
  <si>
    <t>user92@example.com</t>
  </si>
  <si>
    <t>EMP1057</t>
  </si>
  <si>
    <t>EMP1059</t>
  </si>
  <si>
    <t>EMP1060</t>
  </si>
  <si>
    <t>user112@example.com</t>
  </si>
  <si>
    <t>EMP1061</t>
  </si>
  <si>
    <t>user31@example.com</t>
  </si>
  <si>
    <t>EMP1063</t>
  </si>
  <si>
    <t>user97@example.com</t>
  </si>
  <si>
    <t>EMP1066</t>
  </si>
  <si>
    <t>user90@example.com</t>
  </si>
  <si>
    <t>EMP1068</t>
  </si>
  <si>
    <t>EMP1069</t>
  </si>
  <si>
    <t>user65@example.com</t>
  </si>
  <si>
    <t>EMP1071</t>
  </si>
  <si>
    <t>user142@example.com</t>
  </si>
  <si>
    <t>EMP1072</t>
  </si>
  <si>
    <t>user153@example.com</t>
  </si>
  <si>
    <t>EMP1074</t>
  </si>
  <si>
    <t>user143@example.com</t>
  </si>
  <si>
    <t>EMP1075</t>
  </si>
  <si>
    <t>user17@example.com</t>
  </si>
  <si>
    <t>EMP1078</t>
  </si>
  <si>
    <t>user46@example.com</t>
  </si>
  <si>
    <t>EMP1079</t>
  </si>
  <si>
    <t>user55@example.com</t>
  </si>
  <si>
    <t>EMP1080</t>
  </si>
  <si>
    <t>user135@example.com</t>
  </si>
  <si>
    <t>EMP1082</t>
  </si>
  <si>
    <t>user104@example.com</t>
  </si>
  <si>
    <t>EMP1083</t>
  </si>
  <si>
    <t>user145@example.com</t>
  </si>
  <si>
    <t>EMP1085</t>
  </si>
  <si>
    <t>user197@example.com</t>
  </si>
  <si>
    <t>EMP1088</t>
  </si>
  <si>
    <t>user48@example.com</t>
  </si>
  <si>
    <t>EMP1089</t>
  </si>
  <si>
    <t>user149@example.com</t>
  </si>
  <si>
    <t>EMP1090</t>
  </si>
  <si>
    <t>EMP1095</t>
  </si>
  <si>
    <t>user155@example.com</t>
  </si>
  <si>
    <t>EMP1096</t>
  </si>
  <si>
    <t>user191@example.com</t>
  </si>
  <si>
    <t>EMP1100</t>
  </si>
  <si>
    <t>user40@example.com</t>
  </si>
  <si>
    <t>EMP1103</t>
  </si>
  <si>
    <t>EMP1104</t>
  </si>
  <si>
    <t>EMP1105</t>
  </si>
  <si>
    <t>EMP1108</t>
  </si>
  <si>
    <t>user93@example.com</t>
  </si>
  <si>
    <t>EMP1112</t>
  </si>
  <si>
    <t>user76@example.com</t>
  </si>
  <si>
    <t>EMP1114</t>
  </si>
  <si>
    <t>EMP1117</t>
  </si>
  <si>
    <t>user137@example.com</t>
  </si>
  <si>
    <t>EMP1118</t>
  </si>
  <si>
    <t>user23@example.com</t>
  </si>
  <si>
    <t>EMP1120</t>
  </si>
  <si>
    <t>user101@example.com</t>
  </si>
  <si>
    <t>EMP1121</t>
  </si>
  <si>
    <t>user132@example.com</t>
  </si>
  <si>
    <t>EMP1125</t>
  </si>
  <si>
    <t>user52@example.com</t>
  </si>
  <si>
    <t>EMP1128</t>
  </si>
  <si>
    <t>user167@example.com</t>
  </si>
  <si>
    <t>EMP1129</t>
  </si>
  <si>
    <t>user175@example.com</t>
  </si>
  <si>
    <t>EMP1131</t>
  </si>
  <si>
    <t>EMP1132</t>
  </si>
  <si>
    <t>user188@example.com</t>
  </si>
  <si>
    <t>EMP1133</t>
  </si>
  <si>
    <t>user44@example.com</t>
  </si>
  <si>
    <t>EMP1134</t>
  </si>
  <si>
    <t>user63@example.com</t>
  </si>
  <si>
    <t>EMP1136</t>
  </si>
  <si>
    <t>EMP1137</t>
  </si>
  <si>
    <t>user165@example.com</t>
  </si>
  <si>
    <t>EMP1139</t>
  </si>
  <si>
    <t>user22@example.com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</si>
  <si>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</si>
  <si>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</si>
  <si>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</si>
  <si>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</si>
  <si>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</si>
  <si>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</si>
  <si>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</si>
  <si>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EMP1146</t>
  </si>
  <si>
    <t>EMP1147</t>
  </si>
  <si>
    <t>user163@example.com</t>
  </si>
  <si>
    <t>EMP1148</t>
  </si>
  <si>
    <t>EMP1149</t>
  </si>
  <si>
    <t>user30@example.com</t>
  </si>
  <si>
    <t>TODAY</t>
  </si>
  <si>
    <t>NOW</t>
  </si>
  <si>
    <t>YEAR</t>
  </si>
  <si>
    <t>MONTH</t>
  </si>
  <si>
    <t>WEEKDAY</t>
  </si>
  <si>
    <t>DAY</t>
  </si>
  <si>
    <t>A</t>
  </si>
  <si>
    <t>DATED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</si>
</sst>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19" formatCode="dd/mm/yy"/>
    </dxf>
    <dxf>
      <numFmt numFmtId="1" formatCode="0"/>
    </dxf>
    <dxf>
      <numFmt numFmtId="165" formatCode="dd/mm/yy;@"/>
    </dxf>
    <dxf>
      <numFmt numFmtId="1" formatCode="0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2D88E-552D-F241-BAA7-2CB55969FBC3}" name="Table1" displayName="Table1" ref="A1:Z85" totalsRowShown="0">
  <autoFilter ref="A1:Z85" xr:uid="{E752D88E-552D-F241-BAA7-2CB55969FBC3}"/>
  <tableColumns count="26">
    <tableColumn id="1" xr3:uid="{FF59E3A4-04F9-264D-B334-24976EB715D6}" name="Employee ID"/>
    <tableColumn id="2" xr3:uid="{058C9A51-0AE4-3647-83AC-E1616784BEB7}" name="Name"/>
    <tableColumn id="3" xr3:uid="{8DF329C6-3605-304C-906A-3DB43412F7DB}" name="TEXT TO COLUMN"/>
    <tableColumn id="4" xr3:uid="{D7324B72-5B2F-6A46-9379-030DD7573D38}" name="DEPARTMENT"/>
    <tableColumn id="5" xr3:uid="{D8F7BFA8-567A-1E4A-BA9D-BF3CA40F2435}" name="Country"/>
    <tableColumn id="6" xr3:uid="{8F2BE33D-750A-B246-8480-47DA57067596}" name="Salary"/>
    <tableColumn id="7" xr3:uid="{A9518887-D34C-2E42-8B50-CB4719102CA4}" name="Date of Joining" dataDxfId="10"/>
    <tableColumn id="8" xr3:uid="{D789BCAE-CCC2-9540-86B5-DF173EFBF156}" name="Performance Rating"/>
    <tableColumn id="9" xr3:uid="{6A98FF15-3297-E34C-A387-432B40B08E0D}" name="Gender"/>
    <tableColumn id="10" xr3:uid="{6326305D-4A9C-7F43-8F30-F27C9ECC195B}" name="C"/>
    <tableColumn id="11" xr3:uid="{412A302B-D869-BE48-9AB9-932F3E3D5481}" name="Column1"/>
    <tableColumn id="12" xr3:uid="{912383D8-0440-FE41-A514-A27CA098E293}" name="FLASH FILL">
      <calculatedColumnFormula>YEAR(P2)</calculatedColumnFormula>
    </tableColumn>
    <tableColumn id="13" xr3:uid="{3117B1CB-E912-3845-BB0F-AF48F4923F05}" name="PERFORMANCE RATING2" dataDxfId="9">
      <calculatedColumnFormula>IF(H2="",AVERAGE($H:$H),H2)</calculatedColumnFormula>
    </tableColumn>
    <tableColumn id="14" xr3:uid="{46CE7D27-FA8E-9248-B9D9-22E706BEC4D0}" name="COUNTRY2">
      <calculatedColumnFormula>IF(E2="","UNKNOWN",E2)</calculatedColumnFormula>
    </tableColumn>
    <tableColumn id="15" xr3:uid="{5889099D-97C9-D948-AED8-F6263A1D0B2F}" name="NAME CLEANED">
      <calculatedColumnFormula>IF(B2="","UNKNOWN",B2)</calculatedColumnFormula>
    </tableColumn>
    <tableColumn id="16" xr3:uid="{156D54EF-CA35-444D-91E5-2FADA36E4528}" name="DATE OF JOINING2" dataDxfId="8">
      <calculatedColumnFormula>IF(G2="",MAX($G:$G),G2)</calculatedColumnFormula>
    </tableColumn>
    <tableColumn id="17" xr3:uid="{4224721C-51C0-E549-A4EA-2F54D45B3DD9}" name="GENDER CLEANED">
      <calculatedColumnFormula array="1">INDEX($I$2:$I$100, MATCH(MAX(COUNTIFS($B$2:$B$100, B2, $I$2:$I$100, $I$2:$I$100)), COUNTIFS($B$2:$B$100, B2, $I$2:$I$100, $I$2:$I$100), 0))</calculatedColumnFormula>
    </tableColumn>
    <tableColumn id="18" xr3:uid="{19E845C7-062D-0E42-8296-73E49EC13D51}" name="SALARY CLEANED" dataDxfId="7">
      <calculatedColumnFormula>IF(F2="N/A",AVERAGE($F$2:$F$150),F2)</calculatedColumnFormula>
    </tableColumn>
    <tableColumn id="19" xr3:uid="{37E94045-F283-7E45-B459-0DA59DEF0CD1}" name="STATUS">
      <calculatedColumnFormula>IF(R2&gt;=90000,"High",IF(R2&gt;=60000,"Medium",IF(R2&gt;=50000,"Low","Very Low")))</calculatedColumnFormula>
    </tableColumn>
    <tableColumn id="27" xr3:uid="{C5EC61BC-6881-FB4A-93D2-52AF9FCDAF3C}" name="TODAY" dataDxfId="6">
      <calculatedColumnFormula>TODAY()</calculatedColumnFormula>
    </tableColumn>
    <tableColumn id="21" xr3:uid="{7F772B72-A687-5743-BB18-E29156AC23E5}" name="NOW" dataDxfId="5">
      <calculatedColumnFormula>NOW()</calculatedColumnFormula>
    </tableColumn>
    <tableColumn id="22" xr3:uid="{520FF726-AAB1-FF43-A8A9-702869DC11C7}" name="YEAR" dataDxfId="4">
      <calculatedColumnFormula>YEAR(P2)</calculatedColumnFormula>
    </tableColumn>
    <tableColumn id="23" xr3:uid="{B640D2E3-A873-C743-9C97-A51B0DA6437D}" name="DAY" dataDxfId="3">
      <calculatedColumnFormula>DAY(P2)</calculatedColumnFormula>
    </tableColumn>
    <tableColumn id="24" xr3:uid="{3B0C9365-5B04-D84D-B9A4-5F2BD1176E1E}" name="MONTH" dataDxfId="2">
      <calculatedColumnFormula>MONTH(P2)</calculatedColumnFormula>
    </tableColumn>
    <tableColumn id="25" xr3:uid="{20965BB0-5E4C-3D42-8E5C-24B0FA038CFA}" name="WEEKDAY" dataDxfId="1">
      <calculatedColumnFormula>WEEKDAY(P2)</calculatedColumnFormula>
    </tableColumn>
    <tableColumn id="20" xr3:uid="{B4AF7526-B070-9D43-B4AF-3CA0553A004A}" name="DATED IF" dataDxfId="0">
      <calculatedColumnFormula>DAYS360(Table1[[#This Row],[DATE OF JOINING2]],Table1[[#This Row],[TODAY]])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7F05-10D8-8241-A6B1-449EFFECF494}">
  <dimension ref="A1:Z85"/>
  <sheetViews>
    <sheetView tabSelected="1" topLeftCell="N1" zoomScale="74" zoomScaleNormal="74" workbookViewId="0">
      <selection activeCell="AA10" sqref="AA10"/>
    </sheetView>
  </sheetViews>
  <sheetFormatPr baseColWidth="10" defaultRowHeight="16" x14ac:dyDescent="0.2"/>
  <cols>
    <col min="1" max="1" width="13.5" customWidth="1"/>
    <col min="3" max="3" width="17.5" customWidth="1"/>
    <col min="4" max="4" width="14.5" customWidth="1"/>
    <col min="7" max="7" width="15.1640625" customWidth="1"/>
    <col min="8" max="8" width="19.33203125" customWidth="1"/>
    <col min="12" max="12" width="12.1640625" customWidth="1"/>
    <col min="13" max="13" width="23.83203125" customWidth="1"/>
    <col min="14" max="14" width="12.6640625" customWidth="1"/>
    <col min="15" max="15" width="16.5" customWidth="1"/>
    <col min="16" max="16" width="18.6640625" customWidth="1"/>
    <col min="17" max="17" width="18.83203125" customWidth="1"/>
    <col min="18" max="18" width="17.6640625" customWidth="1"/>
    <col min="20" max="20" width="29.6640625" style="1" customWidth="1"/>
    <col min="21" max="21" width="39.5" customWidth="1"/>
    <col min="22" max="22" width="15.83203125" customWidth="1"/>
    <col min="23" max="23" width="23" customWidth="1"/>
    <col min="24" max="24" width="18" customWidth="1"/>
    <col min="25" max="25" width="21.83203125" customWidth="1"/>
    <col min="26" max="26" width="24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s="3" t="s">
        <v>15</v>
      </c>
      <c r="Q1" t="s">
        <v>16</v>
      </c>
      <c r="R1" s="2" t="s">
        <v>17</v>
      </c>
      <c r="S1" t="s">
        <v>18</v>
      </c>
      <c r="T1" s="5" t="s">
        <v>198</v>
      </c>
      <c r="U1" s="6" t="s">
        <v>199</v>
      </c>
      <c r="V1" s="5" t="s">
        <v>200</v>
      </c>
      <c r="W1" s="5" t="s">
        <v>203</v>
      </c>
      <c r="X1" s="5" t="s">
        <v>201</v>
      </c>
      <c r="Y1" s="5" t="s">
        <v>202</v>
      </c>
      <c r="Z1" s="5" t="s">
        <v>205</v>
      </c>
    </row>
    <row r="2" spans="1:26" x14ac:dyDescent="0.2">
      <c r="A2" t="s">
        <v>19</v>
      </c>
      <c r="D2" t="s">
        <v>20</v>
      </c>
      <c r="F2" t="s">
        <v>21</v>
      </c>
      <c r="G2" s="1"/>
      <c r="H2">
        <v>2</v>
      </c>
      <c r="I2" t="s">
        <v>22</v>
      </c>
      <c r="J2" t="s">
        <v>23</v>
      </c>
      <c r="L2">
        <f t="shared" ref="L2:L33" si="0">YEAR(P2)</f>
        <v>2017</v>
      </c>
      <c r="M2" s="2">
        <f t="shared" ref="M2:M33" si="1">IF(H2="",AVERAGE($H:$H),H2)</f>
        <v>2</v>
      </c>
      <c r="N2" t="str">
        <f t="shared" ref="N2:N33" si="2">IF(E2="","UNKNOWN",E2)</f>
        <v>UNKNOWN</v>
      </c>
      <c r="O2" t="str">
        <f t="shared" ref="O2:O33" si="3">IF(B2="","UNKNOWN",B2)</f>
        <v>UNKNOWN</v>
      </c>
      <c r="P2" s="3">
        <f t="shared" ref="P2:P33" si="4">IF(G2="",MAX($G:$G),G2)</f>
        <v>43051</v>
      </c>
      <c r="Q2" t="str" cm="1">
        <f t="array" ref="Q2">INDEX($I$2:$I$100, MATCH(MAX(COUNTIFS($B$2:$B$100, B2, $I$2:$I$100, $I$2:$I$100)), COUNTIFS($B$2:$B$100, B2, $I$2:$I$100, $I$2:$I$100), 0))</f>
        <v>Unknown</v>
      </c>
      <c r="R2" s="2">
        <f t="shared" ref="R2:R33" si="5">IF(F2="N/A",AVERAGE($F$2:$F$150),F2)</f>
        <v>66562.506493506487</v>
      </c>
      <c r="S2" t="str">
        <f t="shared" ref="S2:S33" si="6">IF(R2&gt;=90000,"High",IF(R2&gt;=60000,"Medium",IF(R2&gt;=50000,"Low","Very Low")))</f>
        <v>Medium</v>
      </c>
      <c r="T2" s="4">
        <f t="shared" ref="T2:T33" ca="1" si="7">TODAY()</f>
        <v>46045</v>
      </c>
      <c r="U2" s="1">
        <f t="shared" ref="U2:U33" ca="1" si="8">NOW()</f>
        <v>46045.877995717594</v>
      </c>
      <c r="V2">
        <f t="shared" ref="V2:V33" si="9">YEAR(P2)</f>
        <v>2017</v>
      </c>
      <c r="W2">
        <f t="shared" ref="W2:W33" si="10">DAY(P2)</f>
        <v>12</v>
      </c>
      <c r="X2">
        <f t="shared" ref="X2:X33" si="11">MONTH(P2)</f>
        <v>11</v>
      </c>
      <c r="Y2">
        <f t="shared" ref="Y2:Y33" si="12">WEEKDAY(P2)</f>
        <v>1</v>
      </c>
      <c r="Z2" s="7">
        <f ca="1">DAYS360(Table1[[#This Row],[DATE OF JOINING2]],Table1[[#This Row],[TODAY]])</f>
        <v>2951</v>
      </c>
    </row>
    <row r="3" spans="1:26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54255</v>
      </c>
      <c r="G3" s="1">
        <v>42015</v>
      </c>
      <c r="H3">
        <v>1</v>
      </c>
      <c r="I3" t="s">
        <v>29</v>
      </c>
      <c r="J3" t="s">
        <v>30</v>
      </c>
      <c r="L3">
        <f t="shared" si="0"/>
        <v>2015</v>
      </c>
      <c r="M3" s="2">
        <f t="shared" si="1"/>
        <v>1</v>
      </c>
      <c r="N3" t="str">
        <f t="shared" si="2"/>
        <v>Germany</v>
      </c>
      <c r="O3" t="str">
        <f t="shared" si="3"/>
        <v>Eve</v>
      </c>
      <c r="P3" s="3">
        <f t="shared" si="4"/>
        <v>42015</v>
      </c>
      <c r="Q3" t="str" cm="1">
        <f t="array" ref="Q3">INDEX($I$2:$I$100, MATCH(MAX(COUNTIFS($B$2:$B$100, B3, $I$2:$I$100, $I$2:$I$100)), COUNTIFS($B$2:$B$100, B3, $I$2:$I$100, $I$2:$I$100), 0))</f>
        <v>Other</v>
      </c>
      <c r="R3" s="2">
        <f t="shared" si="5"/>
        <v>54255</v>
      </c>
      <c r="S3" t="str">
        <f t="shared" si="6"/>
        <v>Low</v>
      </c>
      <c r="T3" s="4">
        <f t="shared" ca="1" si="7"/>
        <v>46045</v>
      </c>
      <c r="U3" s="1">
        <f t="shared" ca="1" si="8"/>
        <v>46045.877995717594</v>
      </c>
      <c r="V3">
        <f t="shared" si="9"/>
        <v>2015</v>
      </c>
      <c r="W3">
        <f t="shared" si="10"/>
        <v>11</v>
      </c>
      <c r="X3">
        <f t="shared" si="11"/>
        <v>1</v>
      </c>
      <c r="Y3">
        <f t="shared" si="12"/>
        <v>1</v>
      </c>
      <c r="Z3" s="7">
        <f ca="1">DAYS360(Table1[[#This Row],[DATE OF JOINING2]],Table1[[#This Row],[TODAY]])</f>
        <v>3972</v>
      </c>
    </row>
    <row r="4" spans="1:26" x14ac:dyDescent="0.2">
      <c r="A4" t="s">
        <v>31</v>
      </c>
      <c r="B4" t="s">
        <v>32</v>
      </c>
      <c r="C4" t="s">
        <v>33</v>
      </c>
      <c r="D4" t="s">
        <v>20</v>
      </c>
      <c r="E4" t="s">
        <v>28</v>
      </c>
      <c r="F4">
        <v>63184</v>
      </c>
      <c r="G4" s="1">
        <v>42022</v>
      </c>
      <c r="H4">
        <v>2</v>
      </c>
      <c r="J4" t="s">
        <v>34</v>
      </c>
      <c r="L4">
        <f t="shared" si="0"/>
        <v>2015</v>
      </c>
      <c r="M4" s="2">
        <f t="shared" si="1"/>
        <v>2</v>
      </c>
      <c r="N4" t="str">
        <f t="shared" si="2"/>
        <v>Germany</v>
      </c>
      <c r="O4" t="str">
        <f t="shared" si="3"/>
        <v>Alice</v>
      </c>
      <c r="P4" s="3">
        <f t="shared" si="4"/>
        <v>42022</v>
      </c>
      <c r="Q4" t="str" cm="1">
        <f t="array" ref="Q4">INDEX($I$2:$I$100, MATCH(MAX(COUNTIFS($B$2:$B$100, B4, $I$2:$I$100, $I$2:$I$100)), COUNTIFS($B$2:$B$100, B4, $I$2:$I$100, $I$2:$I$100), 0))</f>
        <v>Other</v>
      </c>
      <c r="R4" s="2">
        <f t="shared" si="5"/>
        <v>63184</v>
      </c>
      <c r="S4" t="str">
        <f t="shared" si="6"/>
        <v>Medium</v>
      </c>
      <c r="T4" s="4">
        <f t="shared" ca="1" si="7"/>
        <v>46045</v>
      </c>
      <c r="U4" s="1">
        <f t="shared" ca="1" si="8"/>
        <v>46045.877995717594</v>
      </c>
      <c r="V4">
        <f t="shared" si="9"/>
        <v>2015</v>
      </c>
      <c r="W4">
        <f t="shared" si="10"/>
        <v>18</v>
      </c>
      <c r="X4">
        <f t="shared" si="11"/>
        <v>1</v>
      </c>
      <c r="Y4">
        <f t="shared" si="12"/>
        <v>1</v>
      </c>
      <c r="Z4" s="7">
        <f ca="1">DAYS360(Table1[[#This Row],[DATE OF JOINING2]],Table1[[#This Row],[TODAY]])</f>
        <v>3965</v>
      </c>
    </row>
    <row r="5" spans="1:26" x14ac:dyDescent="0.2">
      <c r="A5" t="s">
        <v>35</v>
      </c>
      <c r="B5" t="s">
        <v>36</v>
      </c>
      <c r="C5" t="s">
        <v>37</v>
      </c>
      <c r="D5" t="s">
        <v>38</v>
      </c>
      <c r="F5">
        <v>35364</v>
      </c>
      <c r="G5" s="1">
        <v>42057</v>
      </c>
      <c r="H5">
        <v>2</v>
      </c>
      <c r="I5" t="s">
        <v>29</v>
      </c>
      <c r="J5" t="s">
        <v>39</v>
      </c>
      <c r="L5">
        <f t="shared" si="0"/>
        <v>2015</v>
      </c>
      <c r="M5" s="2">
        <f t="shared" si="1"/>
        <v>2</v>
      </c>
      <c r="N5" t="str">
        <f t="shared" si="2"/>
        <v>UNKNOWN</v>
      </c>
      <c r="O5" t="str">
        <f t="shared" si="3"/>
        <v>Chris</v>
      </c>
      <c r="P5" s="3">
        <f t="shared" si="4"/>
        <v>42057</v>
      </c>
      <c r="Q5" t="str" cm="1">
        <f t="array" ref="Q5">INDEX($I$2:$I$100, MATCH(MAX(COUNTIFS($B$2:$B$100, B5, $I$2:$I$100, $I$2:$I$100)), COUNTIFS($B$2:$B$100, B5, $I$2:$I$100, $I$2:$I$100), 0))</f>
        <v>Other</v>
      </c>
      <c r="R5" s="2">
        <f t="shared" si="5"/>
        <v>35364</v>
      </c>
      <c r="S5" t="str">
        <f t="shared" si="6"/>
        <v>Very Low</v>
      </c>
      <c r="T5" s="4">
        <f t="shared" ca="1" si="7"/>
        <v>46045</v>
      </c>
      <c r="U5" s="1">
        <f t="shared" ca="1" si="8"/>
        <v>46045.877995717594</v>
      </c>
      <c r="V5">
        <f t="shared" si="9"/>
        <v>2015</v>
      </c>
      <c r="W5">
        <f t="shared" si="10"/>
        <v>22</v>
      </c>
      <c r="X5">
        <f t="shared" si="11"/>
        <v>2</v>
      </c>
      <c r="Y5">
        <f t="shared" si="12"/>
        <v>1</v>
      </c>
      <c r="Z5" s="7">
        <f ca="1">DAYS360(Table1[[#This Row],[DATE OF JOINING2]],Table1[[#This Row],[TODAY]])</f>
        <v>3931</v>
      </c>
    </row>
    <row r="6" spans="1:26" x14ac:dyDescent="0.2">
      <c r="A6" t="s">
        <v>40</v>
      </c>
      <c r="B6" t="s">
        <v>41</v>
      </c>
      <c r="C6" t="s">
        <v>42</v>
      </c>
      <c r="D6" t="s">
        <v>38</v>
      </c>
      <c r="E6" t="s">
        <v>43</v>
      </c>
      <c r="F6">
        <v>62158</v>
      </c>
      <c r="G6" s="1">
        <v>42099</v>
      </c>
      <c r="H6">
        <v>4</v>
      </c>
      <c r="J6" t="s">
        <v>44</v>
      </c>
      <c r="L6">
        <f t="shared" si="0"/>
        <v>2015</v>
      </c>
      <c r="M6" s="2">
        <f t="shared" si="1"/>
        <v>4</v>
      </c>
      <c r="N6" t="str">
        <f t="shared" si="2"/>
        <v>India</v>
      </c>
      <c r="O6" t="str">
        <f t="shared" si="3"/>
        <v>Sam</v>
      </c>
      <c r="P6" s="3">
        <f t="shared" si="4"/>
        <v>42099</v>
      </c>
      <c r="Q6" t="str" cm="1">
        <f t="array" ref="Q6">INDEX($I$2:$I$100, MATCH(MAX(COUNTIFS($B$2:$B$100, B6, $I$2:$I$100, $I$2:$I$100)), COUNTIFS($B$2:$B$100, B6, $I$2:$I$100, $I$2:$I$100), 0))</f>
        <v>Other</v>
      </c>
      <c r="R6" s="2">
        <f t="shared" si="5"/>
        <v>62158</v>
      </c>
      <c r="S6" t="str">
        <f t="shared" si="6"/>
        <v>Medium</v>
      </c>
      <c r="T6" s="4">
        <f t="shared" ca="1" si="7"/>
        <v>46045</v>
      </c>
      <c r="U6" s="1">
        <f t="shared" ca="1" si="8"/>
        <v>46045.877995717594</v>
      </c>
      <c r="V6">
        <f t="shared" si="9"/>
        <v>2015</v>
      </c>
      <c r="W6">
        <f t="shared" si="10"/>
        <v>5</v>
      </c>
      <c r="X6">
        <f t="shared" si="11"/>
        <v>4</v>
      </c>
      <c r="Y6">
        <f t="shared" si="12"/>
        <v>1</v>
      </c>
      <c r="Z6" s="7">
        <f ca="1">DAYS360(Table1[[#This Row],[DATE OF JOINING2]],Table1[[#This Row],[TODAY]])</f>
        <v>3888</v>
      </c>
    </row>
    <row r="7" spans="1:26" x14ac:dyDescent="0.2">
      <c r="A7" t="s">
        <v>45</v>
      </c>
      <c r="D7" t="s">
        <v>46</v>
      </c>
      <c r="E7" t="s">
        <v>43</v>
      </c>
      <c r="F7">
        <v>92443</v>
      </c>
      <c r="G7" s="1">
        <v>42113</v>
      </c>
      <c r="H7">
        <v>3</v>
      </c>
      <c r="I7" t="s">
        <v>29</v>
      </c>
      <c r="J7" t="s">
        <v>47</v>
      </c>
      <c r="L7">
        <f t="shared" si="0"/>
        <v>2015</v>
      </c>
      <c r="M7" s="2">
        <f t="shared" si="1"/>
        <v>3</v>
      </c>
      <c r="N7" t="str">
        <f t="shared" si="2"/>
        <v>India</v>
      </c>
      <c r="O7" t="str">
        <f t="shared" si="3"/>
        <v>UNKNOWN</v>
      </c>
      <c r="P7" s="3">
        <f t="shared" si="4"/>
        <v>42113</v>
      </c>
      <c r="Q7" t="str" cm="1">
        <f t="array" ref="Q7">INDEX($I$2:$I$100, MATCH(MAX(COUNTIFS($B$2:$B$100, B7, $I$2:$I$100, $I$2:$I$100)), COUNTIFS($B$2:$B$100, B7, $I$2:$I$100, $I$2:$I$100), 0))</f>
        <v>Unknown</v>
      </c>
      <c r="R7" s="2">
        <f t="shared" si="5"/>
        <v>92443</v>
      </c>
      <c r="S7" t="str">
        <f t="shared" si="6"/>
        <v>High</v>
      </c>
      <c r="T7" s="4">
        <f t="shared" ca="1" si="7"/>
        <v>46045</v>
      </c>
      <c r="U7" s="1">
        <f t="shared" ca="1" si="8"/>
        <v>46045.877995717594</v>
      </c>
      <c r="V7">
        <f t="shared" si="9"/>
        <v>2015</v>
      </c>
      <c r="W7">
        <f t="shared" si="10"/>
        <v>19</v>
      </c>
      <c r="X7">
        <f t="shared" si="11"/>
        <v>4</v>
      </c>
      <c r="Y7">
        <f t="shared" si="12"/>
        <v>1</v>
      </c>
      <c r="Z7" s="7">
        <f ca="1">DAYS360(Table1[[#This Row],[DATE OF JOINING2]],Table1[[#This Row],[TODAY]])</f>
        <v>3874</v>
      </c>
    </row>
    <row r="8" spans="1:26" x14ac:dyDescent="0.2">
      <c r="A8" t="s">
        <v>48</v>
      </c>
      <c r="B8" t="s">
        <v>49</v>
      </c>
      <c r="C8" t="s">
        <v>50</v>
      </c>
      <c r="D8" t="s">
        <v>38</v>
      </c>
      <c r="E8" t="s">
        <v>28</v>
      </c>
      <c r="F8">
        <v>90271</v>
      </c>
      <c r="G8" s="1">
        <v>42120</v>
      </c>
      <c r="J8" t="s">
        <v>51</v>
      </c>
      <c r="L8">
        <f t="shared" si="0"/>
        <v>2015</v>
      </c>
      <c r="M8" s="2">
        <f t="shared" si="1"/>
        <v>2.732394366197183</v>
      </c>
      <c r="N8" t="str">
        <f t="shared" si="2"/>
        <v>Germany</v>
      </c>
      <c r="O8" t="str">
        <f t="shared" si="3"/>
        <v>Bob</v>
      </c>
      <c r="P8" s="3">
        <f t="shared" si="4"/>
        <v>42120</v>
      </c>
      <c r="Q8" t="str" cm="1">
        <f t="array" ref="Q8">INDEX($I$2:$I$100, MATCH(MAX(COUNTIFS($B$2:$B$100, B8, $I$2:$I$100, $I$2:$I$100)), COUNTIFS($B$2:$B$100, B8, $I$2:$I$100, $I$2:$I$100), 0))</f>
        <v>Other</v>
      </c>
      <c r="R8" s="2">
        <f t="shared" si="5"/>
        <v>90271</v>
      </c>
      <c r="S8" t="str">
        <f t="shared" si="6"/>
        <v>High</v>
      </c>
      <c r="T8" s="4">
        <f t="shared" ca="1" si="7"/>
        <v>46045</v>
      </c>
      <c r="U8" s="1">
        <f t="shared" ca="1" si="8"/>
        <v>46045.877995717594</v>
      </c>
      <c r="V8">
        <f t="shared" si="9"/>
        <v>2015</v>
      </c>
      <c r="W8">
        <f t="shared" si="10"/>
        <v>26</v>
      </c>
      <c r="X8">
        <f t="shared" si="11"/>
        <v>4</v>
      </c>
      <c r="Y8">
        <f t="shared" si="12"/>
        <v>1</v>
      </c>
      <c r="Z8" s="7">
        <f ca="1">DAYS360(Table1[[#This Row],[DATE OF JOINING2]],Table1[[#This Row],[TODAY]])</f>
        <v>3867</v>
      </c>
    </row>
    <row r="9" spans="1:26" x14ac:dyDescent="0.2">
      <c r="A9" t="s">
        <v>52</v>
      </c>
      <c r="B9" t="s">
        <v>53</v>
      </c>
      <c r="C9" t="s">
        <v>54</v>
      </c>
      <c r="D9" t="s">
        <v>20</v>
      </c>
      <c r="E9" t="s">
        <v>55</v>
      </c>
      <c r="F9">
        <v>41341</v>
      </c>
      <c r="G9" s="1">
        <v>42127</v>
      </c>
      <c r="H9">
        <v>1</v>
      </c>
      <c r="I9" t="s">
        <v>29</v>
      </c>
      <c r="J9" t="s">
        <v>56</v>
      </c>
      <c r="L9">
        <f t="shared" si="0"/>
        <v>2015</v>
      </c>
      <c r="M9" s="2">
        <f t="shared" si="1"/>
        <v>1</v>
      </c>
      <c r="N9" t="str">
        <f t="shared" si="2"/>
        <v>Australia</v>
      </c>
      <c r="O9" t="str">
        <f t="shared" si="3"/>
        <v>Jane</v>
      </c>
      <c r="P9" s="3">
        <f t="shared" si="4"/>
        <v>42127</v>
      </c>
      <c r="Q9" t="str" cm="1">
        <f t="array" ref="Q9">INDEX($I$2:$I$100, MATCH(MAX(COUNTIFS($B$2:$B$100, B9, $I$2:$I$100, $I$2:$I$100)), COUNTIFS($B$2:$B$100, B9, $I$2:$I$100, $I$2:$I$100), 0))</f>
        <v>Other</v>
      </c>
      <c r="R9" s="2">
        <f t="shared" si="5"/>
        <v>41341</v>
      </c>
      <c r="S9" t="str">
        <f t="shared" si="6"/>
        <v>Very Low</v>
      </c>
      <c r="T9" s="4">
        <f t="shared" ca="1" si="7"/>
        <v>46045</v>
      </c>
      <c r="U9" s="1">
        <f t="shared" ca="1" si="8"/>
        <v>46045.877995717594</v>
      </c>
      <c r="V9">
        <f t="shared" si="9"/>
        <v>2015</v>
      </c>
      <c r="W9">
        <f t="shared" si="10"/>
        <v>3</v>
      </c>
      <c r="X9">
        <f t="shared" si="11"/>
        <v>5</v>
      </c>
      <c r="Y9">
        <f t="shared" si="12"/>
        <v>1</v>
      </c>
      <c r="Z9" s="7">
        <f ca="1">DAYS360(Table1[[#This Row],[DATE OF JOINING2]],Table1[[#This Row],[TODAY]])</f>
        <v>3860</v>
      </c>
    </row>
    <row r="10" spans="1:26" x14ac:dyDescent="0.2">
      <c r="A10" t="s">
        <v>57</v>
      </c>
      <c r="B10" t="s">
        <v>32</v>
      </c>
      <c r="C10" t="s">
        <v>33</v>
      </c>
      <c r="D10" t="s">
        <v>20</v>
      </c>
      <c r="E10" t="s">
        <v>58</v>
      </c>
      <c r="F10">
        <v>73602</v>
      </c>
      <c r="G10" s="1">
        <v>42134</v>
      </c>
      <c r="J10" t="s">
        <v>59</v>
      </c>
      <c r="L10">
        <f t="shared" si="0"/>
        <v>2015</v>
      </c>
      <c r="M10" s="2">
        <f t="shared" si="1"/>
        <v>2.732394366197183</v>
      </c>
      <c r="N10" t="str">
        <f t="shared" si="2"/>
        <v>UK</v>
      </c>
      <c r="O10" t="str">
        <f t="shared" si="3"/>
        <v>Alice</v>
      </c>
      <c r="P10" s="3">
        <f t="shared" si="4"/>
        <v>42134</v>
      </c>
      <c r="Q10" t="str" cm="1">
        <f t="array" ref="Q10">INDEX($I$2:$I$100, MATCH(MAX(COUNTIFS($B$2:$B$100, B10, $I$2:$I$100, $I$2:$I$100)), COUNTIFS($B$2:$B$100, B10, $I$2:$I$100, $I$2:$I$100), 0))</f>
        <v>Other</v>
      </c>
      <c r="R10" s="2">
        <f t="shared" si="5"/>
        <v>73602</v>
      </c>
      <c r="S10" t="str">
        <f t="shared" si="6"/>
        <v>Medium</v>
      </c>
      <c r="T10" s="4">
        <f t="shared" ca="1" si="7"/>
        <v>46045</v>
      </c>
      <c r="U10" s="1">
        <f t="shared" ca="1" si="8"/>
        <v>46045.877995717594</v>
      </c>
      <c r="V10">
        <f t="shared" si="9"/>
        <v>2015</v>
      </c>
      <c r="W10">
        <f t="shared" si="10"/>
        <v>10</v>
      </c>
      <c r="X10">
        <f t="shared" si="11"/>
        <v>5</v>
      </c>
      <c r="Y10">
        <f t="shared" si="12"/>
        <v>1</v>
      </c>
      <c r="Z10" s="7">
        <f ca="1">DAYS360(Table1[[#This Row],[DATE OF JOINING2]],Table1[[#This Row],[TODAY]])</f>
        <v>3853</v>
      </c>
    </row>
    <row r="11" spans="1:26" x14ac:dyDescent="0.2">
      <c r="A11" t="s">
        <v>60</v>
      </c>
      <c r="B11" t="s">
        <v>53</v>
      </c>
      <c r="C11" t="s">
        <v>54</v>
      </c>
      <c r="D11" t="s">
        <v>27</v>
      </c>
      <c r="E11" t="s">
        <v>61</v>
      </c>
      <c r="F11" t="s">
        <v>21</v>
      </c>
      <c r="G11" s="1">
        <v>42148</v>
      </c>
      <c r="H11">
        <v>2</v>
      </c>
      <c r="I11" t="s">
        <v>29</v>
      </c>
      <c r="J11" t="s">
        <v>62</v>
      </c>
      <c r="L11">
        <f t="shared" si="0"/>
        <v>2015</v>
      </c>
      <c r="M11" s="2">
        <f t="shared" si="1"/>
        <v>2</v>
      </c>
      <c r="N11" t="str">
        <f t="shared" si="2"/>
        <v>USA</v>
      </c>
      <c r="O11" t="str">
        <f t="shared" si="3"/>
        <v>Jane</v>
      </c>
      <c r="P11" s="3">
        <f t="shared" si="4"/>
        <v>42148</v>
      </c>
      <c r="Q11" t="str" cm="1">
        <f t="array" ref="Q11">INDEX($I$2:$I$100, MATCH(MAX(COUNTIFS($B$2:$B$100, B11, $I$2:$I$100, $I$2:$I$100)), COUNTIFS($B$2:$B$100, B11, $I$2:$I$100, $I$2:$I$100), 0))</f>
        <v>Other</v>
      </c>
      <c r="R11" s="2">
        <f t="shared" si="5"/>
        <v>66562.506493506487</v>
      </c>
      <c r="S11" t="str">
        <f t="shared" si="6"/>
        <v>Medium</v>
      </c>
      <c r="T11" s="4">
        <f t="shared" ca="1" si="7"/>
        <v>46045</v>
      </c>
      <c r="U11" s="1">
        <f t="shared" ca="1" si="8"/>
        <v>46045.877995717594</v>
      </c>
      <c r="V11">
        <f t="shared" si="9"/>
        <v>2015</v>
      </c>
      <c r="W11">
        <f t="shared" si="10"/>
        <v>24</v>
      </c>
      <c r="X11">
        <f t="shared" si="11"/>
        <v>5</v>
      </c>
      <c r="Y11">
        <f t="shared" si="12"/>
        <v>1</v>
      </c>
      <c r="Z11" s="7">
        <f ca="1">DAYS360(Table1[[#This Row],[DATE OF JOINING2]],Table1[[#This Row],[TODAY]])</f>
        <v>3839</v>
      </c>
    </row>
    <row r="12" spans="1:26" x14ac:dyDescent="0.2">
      <c r="A12" t="s">
        <v>63</v>
      </c>
      <c r="B12" t="s">
        <v>53</v>
      </c>
      <c r="C12" t="s">
        <v>54</v>
      </c>
      <c r="D12" t="s">
        <v>27</v>
      </c>
      <c r="F12">
        <v>98922</v>
      </c>
      <c r="G12" s="1">
        <v>42155</v>
      </c>
      <c r="H12">
        <v>4</v>
      </c>
      <c r="J12" t="s">
        <v>64</v>
      </c>
      <c r="L12">
        <f t="shared" si="0"/>
        <v>2015</v>
      </c>
      <c r="M12" s="2">
        <f t="shared" si="1"/>
        <v>4</v>
      </c>
      <c r="N12" t="str">
        <f t="shared" si="2"/>
        <v>UNKNOWN</v>
      </c>
      <c r="O12" t="str">
        <f t="shared" si="3"/>
        <v>Jane</v>
      </c>
      <c r="P12" s="3">
        <f t="shared" si="4"/>
        <v>42155</v>
      </c>
      <c r="Q12" t="str" cm="1">
        <f t="array" ref="Q12">INDEX($I$2:$I$100, MATCH(MAX(COUNTIFS($B$2:$B$100, B12, $I$2:$I$100, $I$2:$I$100)), COUNTIFS($B$2:$B$100, B12, $I$2:$I$100, $I$2:$I$100), 0))</f>
        <v>Other</v>
      </c>
      <c r="R12" s="2">
        <f t="shared" si="5"/>
        <v>98922</v>
      </c>
      <c r="S12" t="str">
        <f t="shared" si="6"/>
        <v>High</v>
      </c>
      <c r="T12" s="4">
        <f t="shared" ca="1" si="7"/>
        <v>46045</v>
      </c>
      <c r="U12" s="1">
        <f t="shared" ca="1" si="8"/>
        <v>46045.877995717594</v>
      </c>
      <c r="V12">
        <f t="shared" si="9"/>
        <v>2015</v>
      </c>
      <c r="W12">
        <f t="shared" si="10"/>
        <v>31</v>
      </c>
      <c r="X12">
        <f t="shared" si="11"/>
        <v>5</v>
      </c>
      <c r="Y12">
        <f t="shared" si="12"/>
        <v>1</v>
      </c>
      <c r="Z12" s="7">
        <f ca="1">DAYS360(Table1[[#This Row],[DATE OF JOINING2]],Table1[[#This Row],[TODAY]])</f>
        <v>3833</v>
      </c>
    </row>
    <row r="13" spans="1:26" x14ac:dyDescent="0.2">
      <c r="A13" t="s">
        <v>65</v>
      </c>
      <c r="B13" t="s">
        <v>25</v>
      </c>
      <c r="C13" t="s">
        <v>26</v>
      </c>
      <c r="D13" t="s">
        <v>20</v>
      </c>
      <c r="E13" t="s">
        <v>43</v>
      </c>
      <c r="F13">
        <v>38333</v>
      </c>
      <c r="G13" s="1">
        <v>42162</v>
      </c>
      <c r="H13">
        <v>5</v>
      </c>
      <c r="J13" t="s">
        <v>66</v>
      </c>
      <c r="L13">
        <f t="shared" si="0"/>
        <v>2015</v>
      </c>
      <c r="M13" s="2">
        <f t="shared" si="1"/>
        <v>5</v>
      </c>
      <c r="N13" t="str">
        <f t="shared" si="2"/>
        <v>India</v>
      </c>
      <c r="O13" t="str">
        <f t="shared" si="3"/>
        <v>Eve</v>
      </c>
      <c r="P13" s="3">
        <f t="shared" si="4"/>
        <v>42162</v>
      </c>
      <c r="Q13" t="str" cm="1">
        <f t="array" ref="Q13">INDEX($I$2:$I$100, MATCH(MAX(COUNTIFS($B$2:$B$100, B13, $I$2:$I$100, $I$2:$I$100)), COUNTIFS($B$2:$B$100, B13, $I$2:$I$100, $I$2:$I$100), 0))</f>
        <v>Other</v>
      </c>
      <c r="R13" s="2">
        <f t="shared" si="5"/>
        <v>38333</v>
      </c>
      <c r="S13" t="str">
        <f t="shared" si="6"/>
        <v>Very Low</v>
      </c>
      <c r="T13" s="4">
        <f t="shared" ca="1" si="7"/>
        <v>46045</v>
      </c>
      <c r="U13" s="1">
        <f t="shared" ca="1" si="8"/>
        <v>46045.877995717594</v>
      </c>
      <c r="V13">
        <f t="shared" si="9"/>
        <v>2015</v>
      </c>
      <c r="W13">
        <f t="shared" si="10"/>
        <v>7</v>
      </c>
      <c r="X13">
        <f t="shared" si="11"/>
        <v>6</v>
      </c>
      <c r="Y13">
        <f t="shared" si="12"/>
        <v>1</v>
      </c>
      <c r="Z13" s="7">
        <f ca="1">DAYS360(Table1[[#This Row],[DATE OF JOINING2]],Table1[[#This Row],[TODAY]])</f>
        <v>3826</v>
      </c>
    </row>
    <row r="14" spans="1:26" x14ac:dyDescent="0.2">
      <c r="A14" t="s">
        <v>67</v>
      </c>
      <c r="B14" t="s">
        <v>41</v>
      </c>
      <c r="C14" t="s">
        <v>42</v>
      </c>
      <c r="D14" t="s">
        <v>20</v>
      </c>
      <c r="F14">
        <v>91005</v>
      </c>
      <c r="G14" s="1">
        <v>42176</v>
      </c>
      <c r="H14">
        <v>1</v>
      </c>
      <c r="I14" t="s">
        <v>29</v>
      </c>
      <c r="J14" t="s">
        <v>68</v>
      </c>
      <c r="L14">
        <f t="shared" si="0"/>
        <v>2015</v>
      </c>
      <c r="M14" s="2">
        <f t="shared" si="1"/>
        <v>1</v>
      </c>
      <c r="N14" t="str">
        <f t="shared" si="2"/>
        <v>UNKNOWN</v>
      </c>
      <c r="O14" t="str">
        <f t="shared" si="3"/>
        <v>Sam</v>
      </c>
      <c r="P14" s="3">
        <f t="shared" si="4"/>
        <v>42176</v>
      </c>
      <c r="Q14" t="str" cm="1">
        <f t="array" ref="Q14">INDEX($I$2:$I$100, MATCH(MAX(COUNTIFS($B$2:$B$100, B14, $I$2:$I$100, $I$2:$I$100)), COUNTIFS($B$2:$B$100, B14, $I$2:$I$100, $I$2:$I$100), 0))</f>
        <v>Other</v>
      </c>
      <c r="R14" s="2">
        <f t="shared" si="5"/>
        <v>91005</v>
      </c>
      <c r="S14" t="str">
        <f t="shared" si="6"/>
        <v>High</v>
      </c>
      <c r="T14" s="4">
        <f t="shared" ca="1" si="7"/>
        <v>46045</v>
      </c>
      <c r="U14" s="1">
        <f t="shared" ca="1" si="8"/>
        <v>46045.877995717594</v>
      </c>
      <c r="V14">
        <f t="shared" si="9"/>
        <v>2015</v>
      </c>
      <c r="W14">
        <f t="shared" si="10"/>
        <v>21</v>
      </c>
      <c r="X14">
        <f t="shared" si="11"/>
        <v>6</v>
      </c>
      <c r="Y14">
        <f t="shared" si="12"/>
        <v>1</v>
      </c>
      <c r="Z14" s="7">
        <f ca="1">DAYS360(Table1[[#This Row],[DATE OF JOINING2]],Table1[[#This Row],[TODAY]])</f>
        <v>3812</v>
      </c>
    </row>
    <row r="15" spans="1:26" x14ac:dyDescent="0.2">
      <c r="A15" t="s">
        <v>69</v>
      </c>
      <c r="B15" t="s">
        <v>36</v>
      </c>
      <c r="C15" t="s">
        <v>37</v>
      </c>
      <c r="D15" t="s">
        <v>38</v>
      </c>
      <c r="F15">
        <v>52272</v>
      </c>
      <c r="G15" s="1">
        <v>42183</v>
      </c>
      <c r="H15">
        <v>3</v>
      </c>
      <c r="J15" t="s">
        <v>70</v>
      </c>
      <c r="L15">
        <f t="shared" si="0"/>
        <v>2015</v>
      </c>
      <c r="M15" s="2">
        <f t="shared" si="1"/>
        <v>3</v>
      </c>
      <c r="N15" t="str">
        <f t="shared" si="2"/>
        <v>UNKNOWN</v>
      </c>
      <c r="O15" t="str">
        <f t="shared" si="3"/>
        <v>Chris</v>
      </c>
      <c r="P15" s="3">
        <f t="shared" si="4"/>
        <v>42183</v>
      </c>
      <c r="Q15" t="str" cm="1">
        <f t="array" ref="Q15">INDEX($I$2:$I$100, MATCH(MAX(COUNTIFS($B$2:$B$100, B15, $I$2:$I$100, $I$2:$I$100)), COUNTIFS($B$2:$B$100, B15, $I$2:$I$100, $I$2:$I$100), 0))</f>
        <v>Other</v>
      </c>
      <c r="R15" s="2">
        <f t="shared" si="5"/>
        <v>52272</v>
      </c>
      <c r="S15" t="str">
        <f t="shared" si="6"/>
        <v>Low</v>
      </c>
      <c r="T15" s="4">
        <f t="shared" ca="1" si="7"/>
        <v>46045</v>
      </c>
      <c r="U15" s="1">
        <f t="shared" ca="1" si="8"/>
        <v>46045.877995717594</v>
      </c>
      <c r="V15">
        <f t="shared" si="9"/>
        <v>2015</v>
      </c>
      <c r="W15">
        <f t="shared" si="10"/>
        <v>28</v>
      </c>
      <c r="X15">
        <f t="shared" si="11"/>
        <v>6</v>
      </c>
      <c r="Y15">
        <f t="shared" si="12"/>
        <v>1</v>
      </c>
      <c r="Z15" s="7">
        <f ca="1">DAYS360(Table1[[#This Row],[DATE OF JOINING2]],Table1[[#This Row],[TODAY]])</f>
        <v>3805</v>
      </c>
    </row>
    <row r="16" spans="1:26" x14ac:dyDescent="0.2">
      <c r="A16" t="s">
        <v>71</v>
      </c>
      <c r="B16" t="s">
        <v>32</v>
      </c>
      <c r="C16" t="s">
        <v>33</v>
      </c>
      <c r="D16" t="s">
        <v>46</v>
      </c>
      <c r="E16" t="s">
        <v>58</v>
      </c>
      <c r="F16">
        <v>41448</v>
      </c>
      <c r="G16" s="1">
        <v>42197</v>
      </c>
      <c r="H16">
        <v>3</v>
      </c>
      <c r="I16" t="s">
        <v>29</v>
      </c>
      <c r="J16" t="s">
        <v>72</v>
      </c>
      <c r="L16">
        <f t="shared" si="0"/>
        <v>2015</v>
      </c>
      <c r="M16" s="2">
        <f t="shared" si="1"/>
        <v>3</v>
      </c>
      <c r="N16" t="str">
        <f t="shared" si="2"/>
        <v>UK</v>
      </c>
      <c r="O16" t="str">
        <f t="shared" si="3"/>
        <v>Alice</v>
      </c>
      <c r="P16" s="3">
        <f t="shared" si="4"/>
        <v>42197</v>
      </c>
      <c r="Q16" t="str" cm="1">
        <f t="array" ref="Q16">INDEX($I$2:$I$100, MATCH(MAX(COUNTIFS($B$2:$B$100, B16, $I$2:$I$100, $I$2:$I$100)), COUNTIFS($B$2:$B$100, B16, $I$2:$I$100, $I$2:$I$100), 0))</f>
        <v>Other</v>
      </c>
      <c r="R16" s="2">
        <f t="shared" si="5"/>
        <v>41448</v>
      </c>
      <c r="S16" t="str">
        <f t="shared" si="6"/>
        <v>Very Low</v>
      </c>
      <c r="T16" s="4">
        <f t="shared" ca="1" si="7"/>
        <v>46045</v>
      </c>
      <c r="U16" s="1">
        <f t="shared" ca="1" si="8"/>
        <v>46045.877995717594</v>
      </c>
      <c r="V16">
        <f t="shared" si="9"/>
        <v>2015</v>
      </c>
      <c r="W16">
        <f t="shared" si="10"/>
        <v>12</v>
      </c>
      <c r="X16">
        <f t="shared" si="11"/>
        <v>7</v>
      </c>
      <c r="Y16">
        <f t="shared" si="12"/>
        <v>1</v>
      </c>
      <c r="Z16" s="7">
        <f ca="1">DAYS360(Table1[[#This Row],[DATE OF JOINING2]],Table1[[#This Row],[TODAY]])</f>
        <v>3791</v>
      </c>
    </row>
    <row r="17" spans="1:26" x14ac:dyDescent="0.2">
      <c r="A17" t="s">
        <v>73</v>
      </c>
      <c r="B17" t="s">
        <v>49</v>
      </c>
      <c r="C17" t="s">
        <v>50</v>
      </c>
      <c r="D17" t="s">
        <v>38</v>
      </c>
      <c r="E17" t="s">
        <v>58</v>
      </c>
      <c r="F17">
        <v>92959</v>
      </c>
      <c r="G17" s="1">
        <v>42211</v>
      </c>
      <c r="H17">
        <v>5</v>
      </c>
      <c r="J17" t="s">
        <v>74</v>
      </c>
      <c r="L17">
        <f t="shared" si="0"/>
        <v>2015</v>
      </c>
      <c r="M17" s="2">
        <f t="shared" si="1"/>
        <v>5</v>
      </c>
      <c r="N17" t="str">
        <f t="shared" si="2"/>
        <v>UK</v>
      </c>
      <c r="O17" t="str">
        <f t="shared" si="3"/>
        <v>Bob</v>
      </c>
      <c r="P17" s="3">
        <f t="shared" si="4"/>
        <v>42211</v>
      </c>
      <c r="Q17" t="str" cm="1">
        <f t="array" ref="Q17">INDEX($I$2:$I$100, MATCH(MAX(COUNTIFS($B$2:$B$100, B17, $I$2:$I$100, $I$2:$I$100)), COUNTIFS($B$2:$B$100, B17, $I$2:$I$100, $I$2:$I$100), 0))</f>
        <v>Other</v>
      </c>
      <c r="R17" s="2">
        <f t="shared" si="5"/>
        <v>92959</v>
      </c>
      <c r="S17" t="str">
        <f t="shared" si="6"/>
        <v>High</v>
      </c>
      <c r="T17" s="4">
        <f t="shared" ca="1" si="7"/>
        <v>46045</v>
      </c>
      <c r="U17" s="1">
        <f t="shared" ca="1" si="8"/>
        <v>46045.877995717594</v>
      </c>
      <c r="V17">
        <f t="shared" si="9"/>
        <v>2015</v>
      </c>
      <c r="W17">
        <f t="shared" si="10"/>
        <v>26</v>
      </c>
      <c r="X17">
        <f t="shared" si="11"/>
        <v>7</v>
      </c>
      <c r="Y17">
        <f t="shared" si="12"/>
        <v>1</v>
      </c>
      <c r="Z17" s="7">
        <f ca="1">DAYS360(Table1[[#This Row],[DATE OF JOINING2]],Table1[[#This Row],[TODAY]])</f>
        <v>3777</v>
      </c>
    </row>
    <row r="18" spans="1:26" x14ac:dyDescent="0.2">
      <c r="A18" t="s">
        <v>75</v>
      </c>
      <c r="D18" t="s">
        <v>38</v>
      </c>
      <c r="F18">
        <v>92259</v>
      </c>
      <c r="G18" s="1"/>
      <c r="H18">
        <v>1</v>
      </c>
      <c r="I18" t="s">
        <v>22</v>
      </c>
      <c r="J18" t="s">
        <v>76</v>
      </c>
      <c r="L18">
        <f t="shared" si="0"/>
        <v>2017</v>
      </c>
      <c r="M18" s="2">
        <f t="shared" si="1"/>
        <v>1</v>
      </c>
      <c r="N18" t="str">
        <f t="shared" si="2"/>
        <v>UNKNOWN</v>
      </c>
      <c r="O18" t="str">
        <f t="shared" si="3"/>
        <v>UNKNOWN</v>
      </c>
      <c r="P18" s="3">
        <f t="shared" si="4"/>
        <v>43051</v>
      </c>
      <c r="Q18" t="str" cm="1">
        <f t="array" ref="Q18">INDEX($I$2:$I$100, MATCH(MAX(COUNTIFS($B$2:$B$100, B18, $I$2:$I$100, $I$2:$I$100)), COUNTIFS($B$2:$B$100, B18, $I$2:$I$100, $I$2:$I$100), 0))</f>
        <v>Unknown</v>
      </c>
      <c r="R18" s="2">
        <f t="shared" si="5"/>
        <v>92259</v>
      </c>
      <c r="S18" t="str">
        <f t="shared" si="6"/>
        <v>High</v>
      </c>
      <c r="T18" s="4">
        <f t="shared" ca="1" si="7"/>
        <v>46045</v>
      </c>
      <c r="U18" s="1">
        <f t="shared" ca="1" si="8"/>
        <v>46045.877995717594</v>
      </c>
      <c r="V18">
        <f t="shared" si="9"/>
        <v>2017</v>
      </c>
      <c r="W18">
        <f t="shared" si="10"/>
        <v>12</v>
      </c>
      <c r="X18">
        <f t="shared" si="11"/>
        <v>11</v>
      </c>
      <c r="Y18">
        <f t="shared" si="12"/>
        <v>1</v>
      </c>
      <c r="Z18" s="7">
        <f ca="1">DAYS360(Table1[[#This Row],[DATE OF JOINING2]],Table1[[#This Row],[TODAY]])</f>
        <v>2951</v>
      </c>
    </row>
    <row r="19" spans="1:26" x14ac:dyDescent="0.2">
      <c r="A19" t="s">
        <v>77</v>
      </c>
      <c r="B19" t="s">
        <v>41</v>
      </c>
      <c r="C19" t="s">
        <v>42</v>
      </c>
      <c r="D19" t="s">
        <v>27</v>
      </c>
      <c r="F19">
        <v>95586</v>
      </c>
      <c r="G19" s="1">
        <v>42232</v>
      </c>
      <c r="H19">
        <v>3</v>
      </c>
      <c r="I19" t="s">
        <v>29</v>
      </c>
      <c r="J19" t="s">
        <v>78</v>
      </c>
      <c r="L19">
        <f t="shared" si="0"/>
        <v>2015</v>
      </c>
      <c r="M19" s="2">
        <f t="shared" si="1"/>
        <v>3</v>
      </c>
      <c r="N19" t="str">
        <f t="shared" si="2"/>
        <v>UNKNOWN</v>
      </c>
      <c r="O19" t="str">
        <f t="shared" si="3"/>
        <v>Sam</v>
      </c>
      <c r="P19" s="3">
        <f t="shared" si="4"/>
        <v>42232</v>
      </c>
      <c r="Q19" t="str" cm="1">
        <f t="array" ref="Q19">INDEX($I$2:$I$100, MATCH(MAX(COUNTIFS($B$2:$B$100, B19, $I$2:$I$100, $I$2:$I$100)), COUNTIFS($B$2:$B$100, B19, $I$2:$I$100, $I$2:$I$100), 0))</f>
        <v>Other</v>
      </c>
      <c r="R19" s="2">
        <f t="shared" si="5"/>
        <v>95586</v>
      </c>
      <c r="S19" t="str">
        <f t="shared" si="6"/>
        <v>High</v>
      </c>
      <c r="T19" s="4">
        <f t="shared" ca="1" si="7"/>
        <v>46045</v>
      </c>
      <c r="U19" s="1">
        <f t="shared" ca="1" si="8"/>
        <v>46045.877995717594</v>
      </c>
      <c r="V19">
        <f t="shared" si="9"/>
        <v>2015</v>
      </c>
      <c r="W19">
        <f t="shared" si="10"/>
        <v>16</v>
      </c>
      <c r="X19">
        <f t="shared" si="11"/>
        <v>8</v>
      </c>
      <c r="Y19">
        <f t="shared" si="12"/>
        <v>1</v>
      </c>
      <c r="Z19" s="7">
        <f ca="1">DAYS360(Table1[[#This Row],[DATE OF JOINING2]],Table1[[#This Row],[TODAY]])</f>
        <v>3757</v>
      </c>
    </row>
    <row r="20" spans="1:26" x14ac:dyDescent="0.2">
      <c r="A20" t="s">
        <v>79</v>
      </c>
      <c r="B20" t="s">
        <v>80</v>
      </c>
      <c r="C20" t="s">
        <v>81</v>
      </c>
      <c r="D20" t="s">
        <v>82</v>
      </c>
      <c r="E20" t="s">
        <v>55</v>
      </c>
      <c r="F20">
        <v>79549</v>
      </c>
      <c r="G20" s="1">
        <v>42246</v>
      </c>
      <c r="H20">
        <v>3</v>
      </c>
      <c r="J20" t="s">
        <v>83</v>
      </c>
      <c r="L20">
        <f t="shared" si="0"/>
        <v>2015</v>
      </c>
      <c r="M20" s="2">
        <f t="shared" si="1"/>
        <v>3</v>
      </c>
      <c r="N20" t="str">
        <f t="shared" si="2"/>
        <v>Australia</v>
      </c>
      <c r="O20" t="str">
        <f t="shared" si="3"/>
        <v>John</v>
      </c>
      <c r="P20" s="3">
        <f t="shared" si="4"/>
        <v>42246</v>
      </c>
      <c r="Q20" t="str" cm="1">
        <f t="array" ref="Q20">INDEX($I$2:$I$100, MATCH(MAX(COUNTIFS($B$2:$B$100, B20, $I$2:$I$100, $I$2:$I$100)), COUNTIFS($B$2:$B$100, B20, $I$2:$I$100, $I$2:$I$100), 0))</f>
        <v>Other</v>
      </c>
      <c r="R20" s="2">
        <f t="shared" si="5"/>
        <v>79549</v>
      </c>
      <c r="S20" t="str">
        <f t="shared" si="6"/>
        <v>Medium</v>
      </c>
      <c r="T20" s="4">
        <f t="shared" ca="1" si="7"/>
        <v>46045</v>
      </c>
      <c r="U20" s="1">
        <f t="shared" ca="1" si="8"/>
        <v>46045.877995717594</v>
      </c>
      <c r="V20">
        <f t="shared" si="9"/>
        <v>2015</v>
      </c>
      <c r="W20">
        <f t="shared" si="10"/>
        <v>30</v>
      </c>
      <c r="X20">
        <f t="shared" si="11"/>
        <v>8</v>
      </c>
      <c r="Y20">
        <f t="shared" si="12"/>
        <v>1</v>
      </c>
      <c r="Z20" s="7">
        <f ca="1">DAYS360(Table1[[#This Row],[DATE OF JOINING2]],Table1[[#This Row],[TODAY]])</f>
        <v>3743</v>
      </c>
    </row>
    <row r="21" spans="1:26" x14ac:dyDescent="0.2">
      <c r="A21" t="s">
        <v>84</v>
      </c>
      <c r="B21" t="s">
        <v>32</v>
      </c>
      <c r="C21" t="s">
        <v>33</v>
      </c>
      <c r="D21" t="s">
        <v>27</v>
      </c>
      <c r="F21">
        <v>64796</v>
      </c>
      <c r="G21" s="1">
        <v>42267</v>
      </c>
      <c r="I21" t="s">
        <v>29</v>
      </c>
      <c r="J21" t="s">
        <v>85</v>
      </c>
      <c r="L21">
        <f t="shared" si="0"/>
        <v>2015</v>
      </c>
      <c r="M21" s="2">
        <f t="shared" si="1"/>
        <v>2.732394366197183</v>
      </c>
      <c r="N21" t="str">
        <f t="shared" si="2"/>
        <v>UNKNOWN</v>
      </c>
      <c r="O21" t="str">
        <f t="shared" si="3"/>
        <v>Alice</v>
      </c>
      <c r="P21" s="3">
        <f t="shared" si="4"/>
        <v>42267</v>
      </c>
      <c r="Q21" t="str" cm="1">
        <f t="array" ref="Q21">INDEX($I$2:$I$100, MATCH(MAX(COUNTIFS($B$2:$B$100, B21, $I$2:$I$100, $I$2:$I$100)), COUNTIFS($B$2:$B$100, B21, $I$2:$I$100, $I$2:$I$100), 0))</f>
        <v>Other</v>
      </c>
      <c r="R21" s="2">
        <f t="shared" si="5"/>
        <v>64796</v>
      </c>
      <c r="S21" t="str">
        <f t="shared" si="6"/>
        <v>Medium</v>
      </c>
      <c r="T21" s="4">
        <f t="shared" ca="1" si="7"/>
        <v>46045</v>
      </c>
      <c r="U21" s="1">
        <f t="shared" ca="1" si="8"/>
        <v>46045.877995717594</v>
      </c>
      <c r="V21">
        <f t="shared" si="9"/>
        <v>2015</v>
      </c>
      <c r="W21">
        <f t="shared" si="10"/>
        <v>20</v>
      </c>
      <c r="X21">
        <f t="shared" si="11"/>
        <v>9</v>
      </c>
      <c r="Y21">
        <f t="shared" si="12"/>
        <v>1</v>
      </c>
      <c r="Z21" s="7">
        <f ca="1">DAYS360(Table1[[#This Row],[DATE OF JOINING2]],Table1[[#This Row],[TODAY]])</f>
        <v>3723</v>
      </c>
    </row>
    <row r="22" spans="1:26" x14ac:dyDescent="0.2">
      <c r="A22" t="s">
        <v>86</v>
      </c>
      <c r="B22" t="s">
        <v>80</v>
      </c>
      <c r="C22" t="s">
        <v>81</v>
      </c>
      <c r="D22" t="s">
        <v>38</v>
      </c>
      <c r="E22" t="s">
        <v>58</v>
      </c>
      <c r="F22">
        <v>52093</v>
      </c>
      <c r="G22" s="1">
        <v>42274</v>
      </c>
      <c r="H22">
        <v>5</v>
      </c>
      <c r="J22" t="s">
        <v>87</v>
      </c>
      <c r="L22">
        <f t="shared" si="0"/>
        <v>2015</v>
      </c>
      <c r="M22" s="2">
        <f t="shared" si="1"/>
        <v>5</v>
      </c>
      <c r="N22" t="str">
        <f t="shared" si="2"/>
        <v>UK</v>
      </c>
      <c r="O22" t="str">
        <f t="shared" si="3"/>
        <v>John</v>
      </c>
      <c r="P22" s="3">
        <f t="shared" si="4"/>
        <v>42274</v>
      </c>
      <c r="Q22" t="str" cm="1">
        <f t="array" ref="Q22">INDEX($I$2:$I$100, MATCH(MAX(COUNTIFS($B$2:$B$100, B22, $I$2:$I$100, $I$2:$I$100)), COUNTIFS($B$2:$B$100, B22, $I$2:$I$100, $I$2:$I$100), 0))</f>
        <v>Other</v>
      </c>
      <c r="R22" s="2">
        <f t="shared" si="5"/>
        <v>52093</v>
      </c>
      <c r="S22" t="str">
        <f t="shared" si="6"/>
        <v>Low</v>
      </c>
      <c r="T22" s="4">
        <f t="shared" ca="1" si="7"/>
        <v>46045</v>
      </c>
      <c r="U22" s="1">
        <f t="shared" ca="1" si="8"/>
        <v>46045.877995717594</v>
      </c>
      <c r="V22">
        <f t="shared" si="9"/>
        <v>2015</v>
      </c>
      <c r="W22">
        <f t="shared" si="10"/>
        <v>27</v>
      </c>
      <c r="X22">
        <f t="shared" si="11"/>
        <v>9</v>
      </c>
      <c r="Y22">
        <f t="shared" si="12"/>
        <v>1</v>
      </c>
      <c r="Z22" s="7">
        <f ca="1">DAYS360(Table1[[#This Row],[DATE OF JOINING2]],Table1[[#This Row],[TODAY]])</f>
        <v>3716</v>
      </c>
    </row>
    <row r="23" spans="1:26" x14ac:dyDescent="0.2">
      <c r="A23" t="s">
        <v>88</v>
      </c>
      <c r="B23" t="s">
        <v>36</v>
      </c>
      <c r="C23" t="s">
        <v>37</v>
      </c>
      <c r="D23" t="s">
        <v>27</v>
      </c>
      <c r="E23" t="s">
        <v>58</v>
      </c>
      <c r="F23">
        <v>48224</v>
      </c>
      <c r="G23" s="1">
        <v>42281</v>
      </c>
      <c r="H23">
        <v>3</v>
      </c>
      <c r="J23" t="s">
        <v>89</v>
      </c>
      <c r="L23">
        <f t="shared" si="0"/>
        <v>2015</v>
      </c>
      <c r="M23" s="2">
        <f t="shared" si="1"/>
        <v>3</v>
      </c>
      <c r="N23" t="str">
        <f t="shared" si="2"/>
        <v>UK</v>
      </c>
      <c r="O23" t="str">
        <f t="shared" si="3"/>
        <v>Chris</v>
      </c>
      <c r="P23" s="3">
        <f t="shared" si="4"/>
        <v>42281</v>
      </c>
      <c r="Q23" t="str" cm="1">
        <f t="array" ref="Q23">INDEX($I$2:$I$100, MATCH(MAX(COUNTIFS($B$2:$B$100, B23, $I$2:$I$100, $I$2:$I$100)), COUNTIFS($B$2:$B$100, B23, $I$2:$I$100, $I$2:$I$100), 0))</f>
        <v>Other</v>
      </c>
      <c r="R23" s="2">
        <f t="shared" si="5"/>
        <v>48224</v>
      </c>
      <c r="S23" t="str">
        <f t="shared" si="6"/>
        <v>Very Low</v>
      </c>
      <c r="T23" s="4">
        <f t="shared" ca="1" si="7"/>
        <v>46045</v>
      </c>
      <c r="U23" s="1">
        <f t="shared" ca="1" si="8"/>
        <v>46045.877995717594</v>
      </c>
      <c r="V23">
        <f t="shared" si="9"/>
        <v>2015</v>
      </c>
      <c r="W23">
        <f t="shared" si="10"/>
        <v>4</v>
      </c>
      <c r="X23">
        <f t="shared" si="11"/>
        <v>10</v>
      </c>
      <c r="Y23">
        <f t="shared" si="12"/>
        <v>1</v>
      </c>
      <c r="Z23" s="7">
        <f ca="1">DAYS360(Table1[[#This Row],[DATE OF JOINING2]],Table1[[#This Row],[TODAY]])</f>
        <v>3709</v>
      </c>
    </row>
    <row r="24" spans="1:26" x14ac:dyDescent="0.2">
      <c r="A24" t="s">
        <v>90</v>
      </c>
      <c r="B24" t="s">
        <v>32</v>
      </c>
      <c r="C24" t="s">
        <v>33</v>
      </c>
      <c r="D24" t="s">
        <v>46</v>
      </c>
      <c r="E24" t="s">
        <v>28</v>
      </c>
      <c r="F24">
        <v>33956</v>
      </c>
      <c r="G24" s="1">
        <v>42295</v>
      </c>
      <c r="J24" t="s">
        <v>91</v>
      </c>
      <c r="L24">
        <f t="shared" si="0"/>
        <v>2015</v>
      </c>
      <c r="M24" s="2">
        <f t="shared" si="1"/>
        <v>2.732394366197183</v>
      </c>
      <c r="N24" t="str">
        <f t="shared" si="2"/>
        <v>Germany</v>
      </c>
      <c r="O24" t="str">
        <f t="shared" si="3"/>
        <v>Alice</v>
      </c>
      <c r="P24" s="3">
        <f t="shared" si="4"/>
        <v>42295</v>
      </c>
      <c r="Q24" t="str" cm="1">
        <f t="array" ref="Q24">INDEX($I$2:$I$100, MATCH(MAX(COUNTIFS($B$2:$B$100, B24, $I$2:$I$100, $I$2:$I$100)), COUNTIFS($B$2:$B$100, B24, $I$2:$I$100, $I$2:$I$100), 0))</f>
        <v>Other</v>
      </c>
      <c r="R24" s="2">
        <f t="shared" si="5"/>
        <v>33956</v>
      </c>
      <c r="S24" t="str">
        <f t="shared" si="6"/>
        <v>Very Low</v>
      </c>
      <c r="T24" s="4">
        <f t="shared" ca="1" si="7"/>
        <v>46045</v>
      </c>
      <c r="U24" s="1">
        <f t="shared" ca="1" si="8"/>
        <v>46045.877995717594</v>
      </c>
      <c r="V24">
        <f t="shared" si="9"/>
        <v>2015</v>
      </c>
      <c r="W24">
        <f t="shared" si="10"/>
        <v>18</v>
      </c>
      <c r="X24">
        <f t="shared" si="11"/>
        <v>10</v>
      </c>
      <c r="Y24">
        <f t="shared" si="12"/>
        <v>1</v>
      </c>
      <c r="Z24" s="7">
        <f ca="1">DAYS360(Table1[[#This Row],[DATE OF JOINING2]],Table1[[#This Row],[TODAY]])</f>
        <v>3695</v>
      </c>
    </row>
    <row r="25" spans="1:26" x14ac:dyDescent="0.2">
      <c r="A25" t="s">
        <v>92</v>
      </c>
      <c r="B25" t="s">
        <v>36</v>
      </c>
      <c r="C25" t="s">
        <v>37</v>
      </c>
      <c r="D25" t="s">
        <v>20</v>
      </c>
      <c r="F25">
        <v>81610</v>
      </c>
      <c r="G25" s="1">
        <v>42316</v>
      </c>
      <c r="H25">
        <v>1</v>
      </c>
      <c r="J25" t="s">
        <v>93</v>
      </c>
      <c r="L25">
        <f t="shared" si="0"/>
        <v>2015</v>
      </c>
      <c r="M25" s="2">
        <f t="shared" si="1"/>
        <v>1</v>
      </c>
      <c r="N25" t="str">
        <f t="shared" si="2"/>
        <v>UNKNOWN</v>
      </c>
      <c r="O25" t="str">
        <f t="shared" si="3"/>
        <v>Chris</v>
      </c>
      <c r="P25" s="3">
        <f t="shared" si="4"/>
        <v>42316</v>
      </c>
      <c r="Q25" t="str" cm="1">
        <f t="array" ref="Q25">INDEX($I$2:$I$100, MATCH(MAX(COUNTIFS($B$2:$B$100, B25, $I$2:$I$100, $I$2:$I$100)), COUNTIFS($B$2:$B$100, B25, $I$2:$I$100, $I$2:$I$100), 0))</f>
        <v>Other</v>
      </c>
      <c r="R25" s="2">
        <f t="shared" si="5"/>
        <v>81610</v>
      </c>
      <c r="S25" t="str">
        <f t="shared" si="6"/>
        <v>Medium</v>
      </c>
      <c r="T25" s="4">
        <f t="shared" ca="1" si="7"/>
        <v>46045</v>
      </c>
      <c r="U25" s="1">
        <f t="shared" ca="1" si="8"/>
        <v>46045.877995717594</v>
      </c>
      <c r="V25">
        <f t="shared" si="9"/>
        <v>2015</v>
      </c>
      <c r="W25">
        <f t="shared" si="10"/>
        <v>8</v>
      </c>
      <c r="X25">
        <f t="shared" si="11"/>
        <v>11</v>
      </c>
      <c r="Y25">
        <f t="shared" si="12"/>
        <v>1</v>
      </c>
      <c r="Z25" s="7">
        <f ca="1">DAYS360(Table1[[#This Row],[DATE OF JOINING2]],Table1[[#This Row],[TODAY]])</f>
        <v>3675</v>
      </c>
    </row>
    <row r="26" spans="1:26" x14ac:dyDescent="0.2">
      <c r="A26" t="s">
        <v>94</v>
      </c>
      <c r="D26" t="s">
        <v>27</v>
      </c>
      <c r="F26">
        <v>58962</v>
      </c>
      <c r="G26" s="1">
        <v>42323</v>
      </c>
      <c r="H26">
        <v>3</v>
      </c>
      <c r="I26" t="s">
        <v>29</v>
      </c>
      <c r="J26" t="s">
        <v>30</v>
      </c>
      <c r="L26">
        <f t="shared" si="0"/>
        <v>2015</v>
      </c>
      <c r="M26" s="2">
        <f t="shared" si="1"/>
        <v>3</v>
      </c>
      <c r="N26" t="str">
        <f t="shared" si="2"/>
        <v>UNKNOWN</v>
      </c>
      <c r="O26" t="str">
        <f t="shared" si="3"/>
        <v>UNKNOWN</v>
      </c>
      <c r="P26" s="3">
        <f t="shared" si="4"/>
        <v>42323</v>
      </c>
      <c r="Q26" t="str" cm="1">
        <f t="array" ref="Q26">INDEX($I$2:$I$100, MATCH(MAX(COUNTIFS($B$2:$B$100, B26, $I$2:$I$100, $I$2:$I$100)), COUNTIFS($B$2:$B$100, B26, $I$2:$I$100, $I$2:$I$100), 0))</f>
        <v>Unknown</v>
      </c>
      <c r="R26" s="2">
        <f t="shared" si="5"/>
        <v>58962</v>
      </c>
      <c r="S26" t="str">
        <f t="shared" si="6"/>
        <v>Low</v>
      </c>
      <c r="T26" s="4">
        <f t="shared" ca="1" si="7"/>
        <v>46045</v>
      </c>
      <c r="U26" s="1">
        <f t="shared" ca="1" si="8"/>
        <v>46045.877995717594</v>
      </c>
      <c r="V26">
        <f t="shared" si="9"/>
        <v>2015</v>
      </c>
      <c r="W26">
        <f t="shared" si="10"/>
        <v>15</v>
      </c>
      <c r="X26">
        <f t="shared" si="11"/>
        <v>11</v>
      </c>
      <c r="Y26">
        <f t="shared" si="12"/>
        <v>1</v>
      </c>
      <c r="Z26" s="7">
        <f ca="1">DAYS360(Table1[[#This Row],[DATE OF JOINING2]],Table1[[#This Row],[TODAY]])</f>
        <v>3668</v>
      </c>
    </row>
    <row r="27" spans="1:26" x14ac:dyDescent="0.2">
      <c r="A27" t="s">
        <v>95</v>
      </c>
      <c r="B27" t="s">
        <v>36</v>
      </c>
      <c r="C27" t="s">
        <v>37</v>
      </c>
      <c r="D27" t="s">
        <v>46</v>
      </c>
      <c r="E27" t="s">
        <v>28</v>
      </c>
      <c r="F27">
        <v>92701</v>
      </c>
      <c r="G27" s="1">
        <v>42330</v>
      </c>
      <c r="H27">
        <v>3</v>
      </c>
      <c r="I27" t="s">
        <v>29</v>
      </c>
      <c r="J27" t="s">
        <v>96</v>
      </c>
      <c r="L27">
        <f t="shared" si="0"/>
        <v>2015</v>
      </c>
      <c r="M27" s="2">
        <f t="shared" si="1"/>
        <v>3</v>
      </c>
      <c r="N27" t="str">
        <f t="shared" si="2"/>
        <v>Germany</v>
      </c>
      <c r="O27" t="str">
        <f t="shared" si="3"/>
        <v>Chris</v>
      </c>
      <c r="P27" s="3">
        <f t="shared" si="4"/>
        <v>42330</v>
      </c>
      <c r="Q27" t="str" cm="1">
        <f t="array" ref="Q27">INDEX($I$2:$I$100, MATCH(MAX(COUNTIFS($B$2:$B$100, B27, $I$2:$I$100, $I$2:$I$100)), COUNTIFS($B$2:$B$100, B27, $I$2:$I$100, $I$2:$I$100), 0))</f>
        <v>Other</v>
      </c>
      <c r="R27" s="2">
        <f t="shared" si="5"/>
        <v>92701</v>
      </c>
      <c r="S27" t="str">
        <f t="shared" si="6"/>
        <v>High</v>
      </c>
      <c r="T27" s="4">
        <f t="shared" ca="1" si="7"/>
        <v>46045</v>
      </c>
      <c r="U27" s="1">
        <f t="shared" ca="1" si="8"/>
        <v>46045.877995717594</v>
      </c>
      <c r="V27">
        <f t="shared" si="9"/>
        <v>2015</v>
      </c>
      <c r="W27">
        <f t="shared" si="10"/>
        <v>22</v>
      </c>
      <c r="X27">
        <f t="shared" si="11"/>
        <v>11</v>
      </c>
      <c r="Y27">
        <f t="shared" si="12"/>
        <v>1</v>
      </c>
      <c r="Z27" s="7">
        <f ca="1">DAYS360(Table1[[#This Row],[DATE OF JOINING2]],Table1[[#This Row],[TODAY]])</f>
        <v>3661</v>
      </c>
    </row>
    <row r="28" spans="1:26" x14ac:dyDescent="0.2">
      <c r="A28" t="s">
        <v>97</v>
      </c>
      <c r="B28" t="s">
        <v>36</v>
      </c>
      <c r="C28" t="s">
        <v>37</v>
      </c>
      <c r="D28" t="s">
        <v>27</v>
      </c>
      <c r="E28" t="s">
        <v>43</v>
      </c>
      <c r="F28">
        <v>58245</v>
      </c>
      <c r="G28" s="1">
        <v>42337</v>
      </c>
      <c r="H28">
        <v>4</v>
      </c>
      <c r="J28" t="s">
        <v>98</v>
      </c>
      <c r="L28">
        <f t="shared" si="0"/>
        <v>2015</v>
      </c>
      <c r="M28" s="2">
        <f t="shared" si="1"/>
        <v>4</v>
      </c>
      <c r="N28" t="str">
        <f t="shared" si="2"/>
        <v>India</v>
      </c>
      <c r="O28" t="str">
        <f t="shared" si="3"/>
        <v>Chris</v>
      </c>
      <c r="P28" s="3">
        <f t="shared" si="4"/>
        <v>42337</v>
      </c>
      <c r="Q28" t="str" cm="1">
        <f t="array" ref="Q28">INDEX($I$2:$I$100, MATCH(MAX(COUNTIFS($B$2:$B$100, B28, $I$2:$I$100, $I$2:$I$100)), COUNTIFS($B$2:$B$100, B28, $I$2:$I$100, $I$2:$I$100), 0))</f>
        <v>Other</v>
      </c>
      <c r="R28" s="2">
        <f t="shared" si="5"/>
        <v>58245</v>
      </c>
      <c r="S28" t="str">
        <f t="shared" si="6"/>
        <v>Low</v>
      </c>
      <c r="T28" s="4">
        <f t="shared" ca="1" si="7"/>
        <v>46045</v>
      </c>
      <c r="U28" s="1">
        <f t="shared" ca="1" si="8"/>
        <v>46045.877995717594</v>
      </c>
      <c r="V28">
        <f t="shared" si="9"/>
        <v>2015</v>
      </c>
      <c r="W28">
        <f t="shared" si="10"/>
        <v>29</v>
      </c>
      <c r="X28">
        <f t="shared" si="11"/>
        <v>11</v>
      </c>
      <c r="Y28">
        <f t="shared" si="12"/>
        <v>1</v>
      </c>
      <c r="Z28" s="7">
        <f ca="1">DAYS360(Table1[[#This Row],[DATE OF JOINING2]],Table1[[#This Row],[TODAY]])</f>
        <v>3654</v>
      </c>
    </row>
    <row r="29" spans="1:26" x14ac:dyDescent="0.2">
      <c r="A29" t="s">
        <v>99</v>
      </c>
      <c r="B29" t="s">
        <v>80</v>
      </c>
      <c r="C29" t="s">
        <v>81</v>
      </c>
      <c r="D29" t="s">
        <v>20</v>
      </c>
      <c r="F29">
        <v>66513</v>
      </c>
      <c r="G29" s="1">
        <v>42344</v>
      </c>
      <c r="H29">
        <v>2</v>
      </c>
      <c r="I29" t="s">
        <v>29</v>
      </c>
      <c r="J29" t="s">
        <v>100</v>
      </c>
      <c r="L29">
        <f t="shared" si="0"/>
        <v>2015</v>
      </c>
      <c r="M29" s="2">
        <f t="shared" si="1"/>
        <v>2</v>
      </c>
      <c r="N29" t="str">
        <f t="shared" si="2"/>
        <v>UNKNOWN</v>
      </c>
      <c r="O29" t="str">
        <f t="shared" si="3"/>
        <v>John</v>
      </c>
      <c r="P29" s="3">
        <f t="shared" si="4"/>
        <v>42344</v>
      </c>
      <c r="Q29" t="str" cm="1">
        <f t="array" ref="Q29">INDEX($I$2:$I$100, MATCH(MAX(COUNTIFS($B$2:$B$100, B29, $I$2:$I$100, $I$2:$I$100)), COUNTIFS($B$2:$B$100, B29, $I$2:$I$100, $I$2:$I$100), 0))</f>
        <v>Other</v>
      </c>
      <c r="R29" s="2">
        <f t="shared" si="5"/>
        <v>66513</v>
      </c>
      <c r="S29" t="str">
        <f t="shared" si="6"/>
        <v>Medium</v>
      </c>
      <c r="T29" s="4">
        <f t="shared" ca="1" si="7"/>
        <v>46045</v>
      </c>
      <c r="U29" s="1">
        <f t="shared" ca="1" si="8"/>
        <v>46045.877995717594</v>
      </c>
      <c r="V29">
        <f t="shared" si="9"/>
        <v>2015</v>
      </c>
      <c r="W29">
        <f t="shared" si="10"/>
        <v>6</v>
      </c>
      <c r="X29">
        <f t="shared" si="11"/>
        <v>12</v>
      </c>
      <c r="Y29">
        <f t="shared" si="12"/>
        <v>1</v>
      </c>
      <c r="Z29" s="7">
        <f ca="1">DAYS360(Table1[[#This Row],[DATE OF JOINING2]],Table1[[#This Row],[TODAY]])</f>
        <v>3647</v>
      </c>
    </row>
    <row r="30" spans="1:26" x14ac:dyDescent="0.2">
      <c r="A30" t="s">
        <v>101</v>
      </c>
      <c r="B30" t="s">
        <v>41</v>
      </c>
      <c r="C30" t="s">
        <v>42</v>
      </c>
      <c r="D30" t="s">
        <v>82</v>
      </c>
      <c r="E30" t="s">
        <v>43</v>
      </c>
      <c r="F30">
        <v>39423</v>
      </c>
      <c r="G30" s="1">
        <v>42365</v>
      </c>
      <c r="H30">
        <v>5</v>
      </c>
      <c r="J30" t="s">
        <v>102</v>
      </c>
      <c r="L30">
        <f t="shared" si="0"/>
        <v>2015</v>
      </c>
      <c r="M30" s="2">
        <f t="shared" si="1"/>
        <v>5</v>
      </c>
      <c r="N30" t="str">
        <f t="shared" si="2"/>
        <v>India</v>
      </c>
      <c r="O30" t="str">
        <f t="shared" si="3"/>
        <v>Sam</v>
      </c>
      <c r="P30" s="3">
        <f t="shared" si="4"/>
        <v>42365</v>
      </c>
      <c r="Q30" t="str" cm="1">
        <f t="array" ref="Q30">INDEX($I$2:$I$100, MATCH(MAX(COUNTIFS($B$2:$B$100, B30, $I$2:$I$100, $I$2:$I$100)), COUNTIFS($B$2:$B$100, B30, $I$2:$I$100, $I$2:$I$100), 0))</f>
        <v>Other</v>
      </c>
      <c r="R30" s="2">
        <f t="shared" si="5"/>
        <v>39423</v>
      </c>
      <c r="S30" t="str">
        <f t="shared" si="6"/>
        <v>Very Low</v>
      </c>
      <c r="T30" s="4">
        <f t="shared" ca="1" si="7"/>
        <v>46045</v>
      </c>
      <c r="U30" s="1">
        <f t="shared" ca="1" si="8"/>
        <v>46045.877995717594</v>
      </c>
      <c r="V30">
        <f t="shared" si="9"/>
        <v>2015</v>
      </c>
      <c r="W30">
        <f t="shared" si="10"/>
        <v>27</v>
      </c>
      <c r="X30">
        <f t="shared" si="11"/>
        <v>12</v>
      </c>
      <c r="Y30">
        <f t="shared" si="12"/>
        <v>1</v>
      </c>
      <c r="Z30" s="7">
        <f ca="1">DAYS360(Table1[[#This Row],[DATE OF JOINING2]],Table1[[#This Row],[TODAY]])</f>
        <v>3626</v>
      </c>
    </row>
    <row r="31" spans="1:26" x14ac:dyDescent="0.2">
      <c r="A31" t="s">
        <v>103</v>
      </c>
      <c r="B31" t="s">
        <v>25</v>
      </c>
      <c r="C31" t="s">
        <v>26</v>
      </c>
      <c r="D31" t="s">
        <v>38</v>
      </c>
      <c r="F31">
        <v>30280</v>
      </c>
      <c r="G31" s="1">
        <v>42372</v>
      </c>
      <c r="H31">
        <v>1</v>
      </c>
      <c r="J31" t="s">
        <v>104</v>
      </c>
      <c r="L31">
        <f t="shared" si="0"/>
        <v>2016</v>
      </c>
      <c r="M31" s="2">
        <f t="shared" si="1"/>
        <v>1</v>
      </c>
      <c r="N31" t="str">
        <f t="shared" si="2"/>
        <v>UNKNOWN</v>
      </c>
      <c r="O31" t="str">
        <f t="shared" si="3"/>
        <v>Eve</v>
      </c>
      <c r="P31" s="3">
        <f t="shared" si="4"/>
        <v>42372</v>
      </c>
      <c r="Q31" t="str" cm="1">
        <f t="array" ref="Q31">INDEX($I$2:$I$100, MATCH(MAX(COUNTIFS($B$2:$B$100, B31, $I$2:$I$100, $I$2:$I$100)), COUNTIFS($B$2:$B$100, B31, $I$2:$I$100, $I$2:$I$100), 0))</f>
        <v>Other</v>
      </c>
      <c r="R31" s="2">
        <f t="shared" si="5"/>
        <v>30280</v>
      </c>
      <c r="S31" t="str">
        <f t="shared" si="6"/>
        <v>Very Low</v>
      </c>
      <c r="T31" s="4">
        <f t="shared" ca="1" si="7"/>
        <v>46045</v>
      </c>
      <c r="U31" s="1">
        <f t="shared" ca="1" si="8"/>
        <v>46045.877995717594</v>
      </c>
      <c r="V31">
        <f t="shared" si="9"/>
        <v>2016</v>
      </c>
      <c r="W31">
        <f t="shared" si="10"/>
        <v>3</v>
      </c>
      <c r="X31">
        <f t="shared" si="11"/>
        <v>1</v>
      </c>
      <c r="Y31">
        <f t="shared" si="12"/>
        <v>1</v>
      </c>
      <c r="Z31" s="7">
        <f ca="1">DAYS360(Table1[[#This Row],[DATE OF JOINING2]],Table1[[#This Row],[TODAY]])</f>
        <v>3620</v>
      </c>
    </row>
    <row r="32" spans="1:26" x14ac:dyDescent="0.2">
      <c r="A32" t="s">
        <v>105</v>
      </c>
      <c r="B32" t="s">
        <v>49</v>
      </c>
      <c r="C32" t="s">
        <v>50</v>
      </c>
      <c r="D32" t="s">
        <v>38</v>
      </c>
      <c r="E32" t="s">
        <v>58</v>
      </c>
      <c r="F32">
        <v>75633</v>
      </c>
      <c r="G32" s="1">
        <v>42386</v>
      </c>
      <c r="H32">
        <v>5</v>
      </c>
      <c r="I32" t="s">
        <v>29</v>
      </c>
      <c r="J32" t="s">
        <v>106</v>
      </c>
      <c r="L32">
        <f t="shared" si="0"/>
        <v>2016</v>
      </c>
      <c r="M32" s="2">
        <f t="shared" si="1"/>
        <v>5</v>
      </c>
      <c r="N32" t="str">
        <f t="shared" si="2"/>
        <v>UK</v>
      </c>
      <c r="O32" t="str">
        <f t="shared" si="3"/>
        <v>Bob</v>
      </c>
      <c r="P32" s="3">
        <f t="shared" si="4"/>
        <v>42386</v>
      </c>
      <c r="Q32" t="str" cm="1">
        <f t="array" ref="Q32">INDEX($I$2:$I$100, MATCH(MAX(COUNTIFS($B$2:$B$100, B32, $I$2:$I$100, $I$2:$I$100)), COUNTIFS($B$2:$B$100, B32, $I$2:$I$100, $I$2:$I$100), 0))</f>
        <v>Other</v>
      </c>
      <c r="R32" s="2">
        <f t="shared" si="5"/>
        <v>75633</v>
      </c>
      <c r="S32" t="str">
        <f t="shared" si="6"/>
        <v>Medium</v>
      </c>
      <c r="T32" s="4">
        <f t="shared" ca="1" si="7"/>
        <v>46045</v>
      </c>
      <c r="U32" s="1">
        <f t="shared" ca="1" si="8"/>
        <v>46045.877995717594</v>
      </c>
      <c r="V32">
        <f t="shared" si="9"/>
        <v>2016</v>
      </c>
      <c r="W32">
        <f t="shared" si="10"/>
        <v>17</v>
      </c>
      <c r="X32">
        <f t="shared" si="11"/>
        <v>1</v>
      </c>
      <c r="Y32">
        <f t="shared" si="12"/>
        <v>1</v>
      </c>
      <c r="Z32" s="7">
        <f ca="1">DAYS360(Table1[[#This Row],[DATE OF JOINING2]],Table1[[#This Row],[TODAY]])</f>
        <v>3606</v>
      </c>
    </row>
    <row r="33" spans="1:26" x14ac:dyDescent="0.2">
      <c r="A33" t="s">
        <v>107</v>
      </c>
      <c r="B33" t="s">
        <v>25</v>
      </c>
      <c r="C33" t="s">
        <v>26</v>
      </c>
      <c r="D33" t="s">
        <v>38</v>
      </c>
      <c r="E33" t="s">
        <v>43</v>
      </c>
      <c r="F33">
        <v>96949</v>
      </c>
      <c r="G33" s="1">
        <v>42407</v>
      </c>
      <c r="H33">
        <v>3</v>
      </c>
      <c r="J33" t="s">
        <v>72</v>
      </c>
      <c r="L33">
        <f t="shared" si="0"/>
        <v>2016</v>
      </c>
      <c r="M33" s="2">
        <f t="shared" si="1"/>
        <v>3</v>
      </c>
      <c r="N33" t="str">
        <f t="shared" si="2"/>
        <v>India</v>
      </c>
      <c r="O33" t="str">
        <f t="shared" si="3"/>
        <v>Eve</v>
      </c>
      <c r="P33" s="3">
        <f t="shared" si="4"/>
        <v>42407</v>
      </c>
      <c r="Q33" t="str" cm="1">
        <f t="array" ref="Q33">INDEX($I$2:$I$100, MATCH(MAX(COUNTIFS($B$2:$B$100, B33, $I$2:$I$100, $I$2:$I$100)), COUNTIFS($B$2:$B$100, B33, $I$2:$I$100, $I$2:$I$100), 0))</f>
        <v>Other</v>
      </c>
      <c r="R33" s="2">
        <f t="shared" si="5"/>
        <v>96949</v>
      </c>
      <c r="S33" t="str">
        <f t="shared" si="6"/>
        <v>High</v>
      </c>
      <c r="T33" s="4">
        <f t="shared" ca="1" si="7"/>
        <v>46045</v>
      </c>
      <c r="U33" s="1">
        <f t="shared" ca="1" si="8"/>
        <v>46045.877995717594</v>
      </c>
      <c r="V33">
        <f t="shared" si="9"/>
        <v>2016</v>
      </c>
      <c r="W33">
        <f t="shared" si="10"/>
        <v>7</v>
      </c>
      <c r="X33">
        <f t="shared" si="11"/>
        <v>2</v>
      </c>
      <c r="Y33">
        <f t="shared" si="12"/>
        <v>1</v>
      </c>
      <c r="Z33" s="7">
        <f ca="1">DAYS360(Table1[[#This Row],[DATE OF JOINING2]],Table1[[#This Row],[TODAY]])</f>
        <v>3586</v>
      </c>
    </row>
    <row r="34" spans="1:26" x14ac:dyDescent="0.2">
      <c r="A34" t="s">
        <v>108</v>
      </c>
      <c r="B34" t="s">
        <v>41</v>
      </c>
      <c r="C34" t="s">
        <v>42</v>
      </c>
      <c r="D34" t="s">
        <v>20</v>
      </c>
      <c r="E34" t="s">
        <v>61</v>
      </c>
      <c r="F34">
        <v>82033</v>
      </c>
      <c r="G34" s="1">
        <v>42421</v>
      </c>
      <c r="H34">
        <v>1</v>
      </c>
      <c r="J34" t="s">
        <v>93</v>
      </c>
      <c r="L34">
        <f t="shared" ref="L34:L65" si="13">YEAR(P34)</f>
        <v>2016</v>
      </c>
      <c r="M34" s="2">
        <f t="shared" ref="M34:M65" si="14">IF(H34="",AVERAGE($H:$H),H34)</f>
        <v>1</v>
      </c>
      <c r="N34" t="str">
        <f t="shared" ref="N34:N65" si="15">IF(E34="","UNKNOWN",E34)</f>
        <v>USA</v>
      </c>
      <c r="O34" t="str">
        <f t="shared" ref="O34:O65" si="16">IF(B34="","UNKNOWN",B34)</f>
        <v>Sam</v>
      </c>
      <c r="P34" s="3">
        <f t="shared" ref="P34:P65" si="17">IF(G34="",MAX($G:$G),G34)</f>
        <v>42421</v>
      </c>
      <c r="Q34" t="str" cm="1">
        <f t="array" ref="Q34">INDEX($I$2:$I$100, MATCH(MAX(COUNTIFS($B$2:$B$100, B34, $I$2:$I$100, $I$2:$I$100)), COUNTIFS($B$2:$B$100, B34, $I$2:$I$100, $I$2:$I$100), 0))</f>
        <v>Other</v>
      </c>
      <c r="R34" s="2">
        <f t="shared" ref="R34:R65" si="18">IF(F34="N/A",AVERAGE($F$2:$F$150),F34)</f>
        <v>82033</v>
      </c>
      <c r="S34" t="str">
        <f t="shared" ref="S34:S65" si="19">IF(R34&gt;=90000,"High",IF(R34&gt;=60000,"Medium",IF(R34&gt;=50000,"Low","Very Low")))</f>
        <v>Medium</v>
      </c>
      <c r="T34" s="4">
        <f t="shared" ref="T34:T65" ca="1" si="20">TODAY()</f>
        <v>46045</v>
      </c>
      <c r="U34" s="1">
        <f t="shared" ref="U34:U65" ca="1" si="21">NOW()</f>
        <v>46045.877995717594</v>
      </c>
      <c r="V34">
        <f t="shared" ref="V34:V65" si="22">YEAR(P34)</f>
        <v>2016</v>
      </c>
      <c r="W34">
        <f t="shared" ref="W34:W65" si="23">DAY(P34)</f>
        <v>21</v>
      </c>
      <c r="X34">
        <f t="shared" ref="X34:X65" si="24">MONTH(P34)</f>
        <v>2</v>
      </c>
      <c r="Y34">
        <f t="shared" ref="Y34:Y65" si="25">WEEKDAY(P34)</f>
        <v>1</v>
      </c>
      <c r="Z34" s="7">
        <f ca="1">DAYS360(Table1[[#This Row],[DATE OF JOINING2]],Table1[[#This Row],[TODAY]])</f>
        <v>3572</v>
      </c>
    </row>
    <row r="35" spans="1:26" x14ac:dyDescent="0.2">
      <c r="A35" t="s">
        <v>109</v>
      </c>
      <c r="D35" t="s">
        <v>38</v>
      </c>
      <c r="E35" t="s">
        <v>28</v>
      </c>
      <c r="F35" t="s">
        <v>21</v>
      </c>
      <c r="G35" s="1"/>
      <c r="H35">
        <v>5</v>
      </c>
      <c r="I35" t="s">
        <v>22</v>
      </c>
      <c r="J35" t="s">
        <v>110</v>
      </c>
      <c r="L35">
        <f t="shared" si="13"/>
        <v>2017</v>
      </c>
      <c r="M35" s="2">
        <f t="shared" si="14"/>
        <v>5</v>
      </c>
      <c r="N35" t="str">
        <f t="shared" si="15"/>
        <v>Germany</v>
      </c>
      <c r="O35" t="str">
        <f t="shared" si="16"/>
        <v>UNKNOWN</v>
      </c>
      <c r="P35" s="3">
        <f t="shared" si="17"/>
        <v>43051</v>
      </c>
      <c r="Q35" t="str" cm="1">
        <f t="array" ref="Q35">INDEX($I$2:$I$100, MATCH(MAX(COUNTIFS($B$2:$B$100, B35, $I$2:$I$100, $I$2:$I$100)), COUNTIFS($B$2:$B$100, B35, $I$2:$I$100, $I$2:$I$100), 0))</f>
        <v>Unknown</v>
      </c>
      <c r="R35" s="2">
        <f t="shared" si="18"/>
        <v>66562.506493506487</v>
      </c>
      <c r="S35" t="str">
        <f t="shared" si="19"/>
        <v>Medium</v>
      </c>
      <c r="T35" s="4">
        <f t="shared" ca="1" si="20"/>
        <v>46045</v>
      </c>
      <c r="U35" s="1">
        <f t="shared" ca="1" si="21"/>
        <v>46045.877995717594</v>
      </c>
      <c r="V35">
        <f t="shared" si="22"/>
        <v>2017</v>
      </c>
      <c r="W35">
        <f t="shared" si="23"/>
        <v>12</v>
      </c>
      <c r="X35">
        <f t="shared" si="24"/>
        <v>11</v>
      </c>
      <c r="Y35">
        <f t="shared" si="25"/>
        <v>1</v>
      </c>
      <c r="Z35" s="7">
        <f ca="1">DAYS360(Table1[[#This Row],[DATE OF JOINING2]],Table1[[#This Row],[TODAY]])</f>
        <v>2951</v>
      </c>
    </row>
    <row r="36" spans="1:26" x14ac:dyDescent="0.2">
      <c r="A36" t="s">
        <v>111</v>
      </c>
      <c r="B36" t="s">
        <v>25</v>
      </c>
      <c r="C36" t="s">
        <v>26</v>
      </c>
      <c r="D36" t="s">
        <v>38</v>
      </c>
      <c r="E36" t="s">
        <v>55</v>
      </c>
      <c r="F36">
        <v>31499</v>
      </c>
      <c r="G36" s="1">
        <v>42435</v>
      </c>
      <c r="H36">
        <v>2</v>
      </c>
      <c r="J36" t="s">
        <v>112</v>
      </c>
      <c r="L36">
        <f t="shared" si="13"/>
        <v>2016</v>
      </c>
      <c r="M36" s="2">
        <f t="shared" si="14"/>
        <v>2</v>
      </c>
      <c r="N36" t="str">
        <f t="shared" si="15"/>
        <v>Australia</v>
      </c>
      <c r="O36" t="str">
        <f t="shared" si="16"/>
        <v>Eve</v>
      </c>
      <c r="P36" s="3">
        <f t="shared" si="17"/>
        <v>42435</v>
      </c>
      <c r="Q36" t="str" cm="1">
        <f t="array" ref="Q36">INDEX($I$2:$I$100, MATCH(MAX(COUNTIFS($B$2:$B$100, B36, $I$2:$I$100, $I$2:$I$100)), COUNTIFS($B$2:$B$100, B36, $I$2:$I$100, $I$2:$I$100), 0))</f>
        <v>Other</v>
      </c>
      <c r="R36" s="2">
        <f t="shared" si="18"/>
        <v>31499</v>
      </c>
      <c r="S36" t="str">
        <f t="shared" si="19"/>
        <v>Very Low</v>
      </c>
      <c r="T36" s="4">
        <f t="shared" ca="1" si="20"/>
        <v>46045</v>
      </c>
      <c r="U36" s="1">
        <f t="shared" ca="1" si="21"/>
        <v>46045.877995717594</v>
      </c>
      <c r="V36">
        <f t="shared" si="22"/>
        <v>2016</v>
      </c>
      <c r="W36">
        <f t="shared" si="23"/>
        <v>6</v>
      </c>
      <c r="X36">
        <f t="shared" si="24"/>
        <v>3</v>
      </c>
      <c r="Y36">
        <f t="shared" si="25"/>
        <v>1</v>
      </c>
      <c r="Z36" s="7">
        <f ca="1">DAYS360(Table1[[#This Row],[DATE OF JOINING2]],Table1[[#This Row],[TODAY]])</f>
        <v>3557</v>
      </c>
    </row>
    <row r="37" spans="1:26" x14ac:dyDescent="0.2">
      <c r="A37" t="s">
        <v>113</v>
      </c>
      <c r="B37" t="s">
        <v>25</v>
      </c>
      <c r="C37" t="s">
        <v>26</v>
      </c>
      <c r="D37" t="s">
        <v>27</v>
      </c>
      <c r="E37" t="s">
        <v>61</v>
      </c>
      <c r="F37">
        <v>36541</v>
      </c>
      <c r="G37" s="1">
        <v>42449</v>
      </c>
      <c r="H37">
        <v>2</v>
      </c>
      <c r="I37" t="s">
        <v>29</v>
      </c>
      <c r="J37" t="s">
        <v>114</v>
      </c>
      <c r="L37">
        <f t="shared" si="13"/>
        <v>2016</v>
      </c>
      <c r="M37" s="2">
        <f t="shared" si="14"/>
        <v>2</v>
      </c>
      <c r="N37" t="str">
        <f t="shared" si="15"/>
        <v>USA</v>
      </c>
      <c r="O37" t="str">
        <f t="shared" si="16"/>
        <v>Eve</v>
      </c>
      <c r="P37" s="3">
        <f t="shared" si="17"/>
        <v>42449</v>
      </c>
      <c r="Q37" t="str" cm="1">
        <f t="array" ref="Q37">INDEX($I$2:$I$100, MATCH(MAX(COUNTIFS($B$2:$B$100, B37, $I$2:$I$100, $I$2:$I$100)), COUNTIFS($B$2:$B$100, B37, $I$2:$I$100, $I$2:$I$100), 0))</f>
        <v>Other</v>
      </c>
      <c r="R37" s="2">
        <f t="shared" si="18"/>
        <v>36541</v>
      </c>
      <c r="S37" t="str">
        <f t="shared" si="19"/>
        <v>Very Low</v>
      </c>
      <c r="T37" s="4">
        <f t="shared" ca="1" si="20"/>
        <v>46045</v>
      </c>
      <c r="U37" s="1">
        <f t="shared" ca="1" si="21"/>
        <v>46045.877995717594</v>
      </c>
      <c r="V37">
        <f t="shared" si="22"/>
        <v>2016</v>
      </c>
      <c r="W37">
        <f t="shared" si="23"/>
        <v>20</v>
      </c>
      <c r="X37">
        <f t="shared" si="24"/>
        <v>3</v>
      </c>
      <c r="Y37">
        <f t="shared" si="25"/>
        <v>1</v>
      </c>
      <c r="Z37" s="7">
        <f ca="1">DAYS360(Table1[[#This Row],[DATE OF JOINING2]],Table1[[#This Row],[TODAY]])</f>
        <v>3543</v>
      </c>
    </row>
    <row r="38" spans="1:26" x14ac:dyDescent="0.2">
      <c r="A38" t="s">
        <v>115</v>
      </c>
      <c r="B38" t="s">
        <v>41</v>
      </c>
      <c r="C38" t="s">
        <v>42</v>
      </c>
      <c r="D38" t="s">
        <v>38</v>
      </c>
      <c r="E38" t="s">
        <v>55</v>
      </c>
      <c r="F38">
        <v>96365</v>
      </c>
      <c r="G38" s="1">
        <v>42470</v>
      </c>
      <c r="H38">
        <v>3</v>
      </c>
      <c r="I38" t="s">
        <v>29</v>
      </c>
      <c r="J38" t="s">
        <v>116</v>
      </c>
      <c r="L38">
        <f t="shared" si="13"/>
        <v>2016</v>
      </c>
      <c r="M38" s="2">
        <f t="shared" si="14"/>
        <v>3</v>
      </c>
      <c r="N38" t="str">
        <f t="shared" si="15"/>
        <v>Australia</v>
      </c>
      <c r="O38" t="str">
        <f t="shared" si="16"/>
        <v>Sam</v>
      </c>
      <c r="P38" s="3">
        <f t="shared" si="17"/>
        <v>42470</v>
      </c>
      <c r="Q38" t="str" cm="1">
        <f t="array" ref="Q38">INDEX($I$2:$I$100, MATCH(MAX(COUNTIFS($B$2:$B$100, B38, $I$2:$I$100, $I$2:$I$100)), COUNTIFS($B$2:$B$100, B38, $I$2:$I$100, $I$2:$I$100), 0))</f>
        <v>Other</v>
      </c>
      <c r="R38" s="2">
        <f t="shared" si="18"/>
        <v>96365</v>
      </c>
      <c r="S38" t="str">
        <f t="shared" si="19"/>
        <v>High</v>
      </c>
      <c r="T38" s="4">
        <f t="shared" ca="1" si="20"/>
        <v>46045</v>
      </c>
      <c r="U38" s="1">
        <f t="shared" ca="1" si="21"/>
        <v>46045.877995717594</v>
      </c>
      <c r="V38">
        <f t="shared" si="22"/>
        <v>2016</v>
      </c>
      <c r="W38">
        <f t="shared" si="23"/>
        <v>10</v>
      </c>
      <c r="X38">
        <f t="shared" si="24"/>
        <v>4</v>
      </c>
      <c r="Y38">
        <f t="shared" si="25"/>
        <v>1</v>
      </c>
      <c r="Z38" s="7">
        <f ca="1">DAYS360(Table1[[#This Row],[DATE OF JOINING2]],Table1[[#This Row],[TODAY]])</f>
        <v>3523</v>
      </c>
    </row>
    <row r="39" spans="1:26" x14ac:dyDescent="0.2">
      <c r="A39" t="s">
        <v>117</v>
      </c>
      <c r="B39" t="s">
        <v>41</v>
      </c>
      <c r="C39" t="s">
        <v>42</v>
      </c>
      <c r="D39" t="s">
        <v>20</v>
      </c>
      <c r="E39" t="s">
        <v>58</v>
      </c>
      <c r="F39">
        <v>41467</v>
      </c>
      <c r="G39" s="1">
        <v>42484</v>
      </c>
      <c r="H39">
        <v>2</v>
      </c>
      <c r="J39" t="s">
        <v>64</v>
      </c>
      <c r="L39">
        <f t="shared" si="13"/>
        <v>2016</v>
      </c>
      <c r="M39" s="2">
        <f t="shared" si="14"/>
        <v>2</v>
      </c>
      <c r="N39" t="str">
        <f t="shared" si="15"/>
        <v>UK</v>
      </c>
      <c r="O39" t="str">
        <f t="shared" si="16"/>
        <v>Sam</v>
      </c>
      <c r="P39" s="3">
        <f t="shared" si="17"/>
        <v>42484</v>
      </c>
      <c r="Q39" t="str" cm="1">
        <f t="array" ref="Q39">INDEX($I$2:$I$100, MATCH(MAX(COUNTIFS($B$2:$B$100, B39, $I$2:$I$100, $I$2:$I$100)), COUNTIFS($B$2:$B$100, B39, $I$2:$I$100, $I$2:$I$100), 0))</f>
        <v>Other</v>
      </c>
      <c r="R39" s="2">
        <f t="shared" si="18"/>
        <v>41467</v>
      </c>
      <c r="S39" t="str">
        <f t="shared" si="19"/>
        <v>Very Low</v>
      </c>
      <c r="T39" s="4">
        <f t="shared" ca="1" si="20"/>
        <v>46045</v>
      </c>
      <c r="U39" s="1">
        <f t="shared" ca="1" si="21"/>
        <v>46045.877995717594</v>
      </c>
      <c r="V39">
        <f t="shared" si="22"/>
        <v>2016</v>
      </c>
      <c r="W39">
        <f t="shared" si="23"/>
        <v>24</v>
      </c>
      <c r="X39">
        <f t="shared" si="24"/>
        <v>4</v>
      </c>
      <c r="Y39">
        <f t="shared" si="25"/>
        <v>1</v>
      </c>
      <c r="Z39" s="7">
        <f ca="1">DAYS360(Table1[[#This Row],[DATE OF JOINING2]],Table1[[#This Row],[TODAY]])</f>
        <v>3509</v>
      </c>
    </row>
    <row r="40" spans="1:26" x14ac:dyDescent="0.2">
      <c r="A40" t="s">
        <v>118</v>
      </c>
      <c r="B40" t="s">
        <v>49</v>
      </c>
      <c r="C40" t="s">
        <v>50</v>
      </c>
      <c r="D40" t="s">
        <v>20</v>
      </c>
      <c r="E40" t="s">
        <v>43</v>
      </c>
      <c r="F40">
        <v>77096</v>
      </c>
      <c r="G40" s="1">
        <v>42491</v>
      </c>
      <c r="H40">
        <v>1</v>
      </c>
      <c r="J40" t="s">
        <v>119</v>
      </c>
      <c r="L40">
        <f t="shared" si="13"/>
        <v>2016</v>
      </c>
      <c r="M40" s="2">
        <f t="shared" si="14"/>
        <v>1</v>
      </c>
      <c r="N40" t="str">
        <f t="shared" si="15"/>
        <v>India</v>
      </c>
      <c r="O40" t="str">
        <f t="shared" si="16"/>
        <v>Bob</v>
      </c>
      <c r="P40" s="3">
        <f t="shared" si="17"/>
        <v>42491</v>
      </c>
      <c r="Q40" t="str" cm="1">
        <f t="array" ref="Q40">INDEX($I$2:$I$100, MATCH(MAX(COUNTIFS($B$2:$B$100, B40, $I$2:$I$100, $I$2:$I$100)), COUNTIFS($B$2:$B$100, B40, $I$2:$I$100, $I$2:$I$100), 0))</f>
        <v>Other</v>
      </c>
      <c r="R40" s="2">
        <f t="shared" si="18"/>
        <v>77096</v>
      </c>
      <c r="S40" t="str">
        <f t="shared" si="19"/>
        <v>Medium</v>
      </c>
      <c r="T40" s="4">
        <f t="shared" ca="1" si="20"/>
        <v>46045</v>
      </c>
      <c r="U40" s="1">
        <f t="shared" ca="1" si="21"/>
        <v>46045.877995717594</v>
      </c>
      <c r="V40">
        <f t="shared" si="22"/>
        <v>2016</v>
      </c>
      <c r="W40">
        <f t="shared" si="23"/>
        <v>1</v>
      </c>
      <c r="X40">
        <f t="shared" si="24"/>
        <v>5</v>
      </c>
      <c r="Y40">
        <f t="shared" si="25"/>
        <v>1</v>
      </c>
      <c r="Z40" s="7">
        <f ca="1">DAYS360(Table1[[#This Row],[DATE OF JOINING2]],Table1[[#This Row],[TODAY]])</f>
        <v>3502</v>
      </c>
    </row>
    <row r="41" spans="1:26" x14ac:dyDescent="0.2">
      <c r="A41" t="s">
        <v>120</v>
      </c>
      <c r="B41" t="s">
        <v>25</v>
      </c>
      <c r="C41" t="s">
        <v>26</v>
      </c>
      <c r="D41" t="s">
        <v>38</v>
      </c>
      <c r="E41" t="s">
        <v>61</v>
      </c>
      <c r="F41">
        <v>85065</v>
      </c>
      <c r="G41" s="1">
        <v>42505</v>
      </c>
      <c r="H41">
        <v>3</v>
      </c>
      <c r="J41" t="s">
        <v>121</v>
      </c>
      <c r="L41">
        <f t="shared" si="13"/>
        <v>2016</v>
      </c>
      <c r="M41" s="2">
        <f t="shared" si="14"/>
        <v>3</v>
      </c>
      <c r="N41" t="str">
        <f t="shared" si="15"/>
        <v>USA</v>
      </c>
      <c r="O41" t="str">
        <f t="shared" si="16"/>
        <v>Eve</v>
      </c>
      <c r="P41" s="3">
        <f t="shared" si="17"/>
        <v>42505</v>
      </c>
      <c r="Q41" t="str" cm="1">
        <f t="array" ref="Q41">INDEX($I$2:$I$100, MATCH(MAX(COUNTIFS($B$2:$B$100, B41, $I$2:$I$100, $I$2:$I$100)), COUNTIFS($B$2:$B$100, B41, $I$2:$I$100, $I$2:$I$100), 0))</f>
        <v>Other</v>
      </c>
      <c r="R41" s="2">
        <f t="shared" si="18"/>
        <v>85065</v>
      </c>
      <c r="S41" t="str">
        <f t="shared" si="19"/>
        <v>Medium</v>
      </c>
      <c r="T41" s="4">
        <f t="shared" ca="1" si="20"/>
        <v>46045</v>
      </c>
      <c r="U41" s="1">
        <f t="shared" ca="1" si="21"/>
        <v>46045.877995717594</v>
      </c>
      <c r="V41">
        <f t="shared" si="22"/>
        <v>2016</v>
      </c>
      <c r="W41">
        <f t="shared" si="23"/>
        <v>15</v>
      </c>
      <c r="X41">
        <f t="shared" si="24"/>
        <v>5</v>
      </c>
      <c r="Y41">
        <f t="shared" si="25"/>
        <v>1</v>
      </c>
      <c r="Z41" s="7">
        <f ca="1">DAYS360(Table1[[#This Row],[DATE OF JOINING2]],Table1[[#This Row],[TODAY]])</f>
        <v>3488</v>
      </c>
    </row>
    <row r="42" spans="1:26" x14ac:dyDescent="0.2">
      <c r="A42" t="s">
        <v>122</v>
      </c>
      <c r="B42" t="s">
        <v>49</v>
      </c>
      <c r="C42" t="s">
        <v>50</v>
      </c>
      <c r="D42" t="s">
        <v>38</v>
      </c>
      <c r="E42" t="s">
        <v>43</v>
      </c>
      <c r="F42">
        <v>56512</v>
      </c>
      <c r="G42" s="1">
        <v>42512</v>
      </c>
      <c r="I42" t="s">
        <v>29</v>
      </c>
      <c r="J42" t="s">
        <v>123</v>
      </c>
      <c r="L42">
        <f t="shared" si="13"/>
        <v>2016</v>
      </c>
      <c r="M42" s="2">
        <f t="shared" si="14"/>
        <v>2.732394366197183</v>
      </c>
      <c r="N42" t="str">
        <f t="shared" si="15"/>
        <v>India</v>
      </c>
      <c r="O42" t="str">
        <f t="shared" si="16"/>
        <v>Bob</v>
      </c>
      <c r="P42" s="3">
        <f t="shared" si="17"/>
        <v>42512</v>
      </c>
      <c r="Q42" t="str" cm="1">
        <f t="array" ref="Q42">INDEX($I$2:$I$100, MATCH(MAX(COUNTIFS($B$2:$B$100, B42, $I$2:$I$100, $I$2:$I$100)), COUNTIFS($B$2:$B$100, B42, $I$2:$I$100, $I$2:$I$100), 0))</f>
        <v>Other</v>
      </c>
      <c r="R42" s="2">
        <f t="shared" si="18"/>
        <v>56512</v>
      </c>
      <c r="S42" t="str">
        <f t="shared" si="19"/>
        <v>Low</v>
      </c>
      <c r="T42" s="4">
        <f t="shared" ca="1" si="20"/>
        <v>46045</v>
      </c>
      <c r="U42" s="1">
        <f t="shared" ca="1" si="21"/>
        <v>46045.877995717594</v>
      </c>
      <c r="V42">
        <f t="shared" si="22"/>
        <v>2016</v>
      </c>
      <c r="W42">
        <f t="shared" si="23"/>
        <v>22</v>
      </c>
      <c r="X42">
        <f t="shared" si="24"/>
        <v>5</v>
      </c>
      <c r="Y42">
        <f t="shared" si="25"/>
        <v>1</v>
      </c>
      <c r="Z42" s="7">
        <f ca="1">DAYS360(Table1[[#This Row],[DATE OF JOINING2]],Table1[[#This Row],[TODAY]])</f>
        <v>3481</v>
      </c>
    </row>
    <row r="43" spans="1:26" x14ac:dyDescent="0.2">
      <c r="A43" t="s">
        <v>124</v>
      </c>
      <c r="B43" t="s">
        <v>41</v>
      </c>
      <c r="C43" t="s">
        <v>42</v>
      </c>
      <c r="D43" t="s">
        <v>38</v>
      </c>
      <c r="E43" t="s">
        <v>28</v>
      </c>
      <c r="F43">
        <v>41243</v>
      </c>
      <c r="G43" s="1">
        <v>42526</v>
      </c>
      <c r="J43" t="s">
        <v>125</v>
      </c>
      <c r="L43">
        <f t="shared" si="13"/>
        <v>2016</v>
      </c>
      <c r="M43" s="2">
        <f t="shared" si="14"/>
        <v>2.732394366197183</v>
      </c>
      <c r="N43" t="str">
        <f t="shared" si="15"/>
        <v>Germany</v>
      </c>
      <c r="O43" t="str">
        <f t="shared" si="16"/>
        <v>Sam</v>
      </c>
      <c r="P43" s="3">
        <f t="shared" si="17"/>
        <v>42526</v>
      </c>
      <c r="Q43" t="str" cm="1">
        <f t="array" ref="Q43">INDEX($I$2:$I$100, MATCH(MAX(COUNTIFS($B$2:$B$100, B43, $I$2:$I$100, $I$2:$I$100)), COUNTIFS($B$2:$B$100, B43, $I$2:$I$100, $I$2:$I$100), 0))</f>
        <v>Other</v>
      </c>
      <c r="R43" s="2">
        <f t="shared" si="18"/>
        <v>41243</v>
      </c>
      <c r="S43" t="str">
        <f t="shared" si="19"/>
        <v>Very Low</v>
      </c>
      <c r="T43" s="4">
        <f t="shared" ca="1" si="20"/>
        <v>46045</v>
      </c>
      <c r="U43" s="1">
        <f t="shared" ca="1" si="21"/>
        <v>46045.877995717594</v>
      </c>
      <c r="V43">
        <f t="shared" si="22"/>
        <v>2016</v>
      </c>
      <c r="W43">
        <f t="shared" si="23"/>
        <v>5</v>
      </c>
      <c r="X43">
        <f t="shared" si="24"/>
        <v>6</v>
      </c>
      <c r="Y43">
        <f t="shared" si="25"/>
        <v>1</v>
      </c>
      <c r="Z43" s="7">
        <f ca="1">DAYS360(Table1[[#This Row],[DATE OF JOINING2]],Table1[[#This Row],[TODAY]])</f>
        <v>3468</v>
      </c>
    </row>
    <row r="44" spans="1:26" x14ac:dyDescent="0.2">
      <c r="A44" t="s">
        <v>126</v>
      </c>
      <c r="D44" t="s">
        <v>82</v>
      </c>
      <c r="F44">
        <v>96142</v>
      </c>
      <c r="G44" s="1">
        <v>42533</v>
      </c>
      <c r="H44">
        <v>1</v>
      </c>
      <c r="I44" t="s">
        <v>29</v>
      </c>
      <c r="J44" t="s">
        <v>127</v>
      </c>
      <c r="L44">
        <f t="shared" si="13"/>
        <v>2016</v>
      </c>
      <c r="M44" s="2">
        <f t="shared" si="14"/>
        <v>1</v>
      </c>
      <c r="N44" t="str">
        <f t="shared" si="15"/>
        <v>UNKNOWN</v>
      </c>
      <c r="O44" t="str">
        <f t="shared" si="16"/>
        <v>UNKNOWN</v>
      </c>
      <c r="P44" s="3">
        <f t="shared" si="17"/>
        <v>42533</v>
      </c>
      <c r="Q44" t="str" cm="1">
        <f t="array" ref="Q44">INDEX($I$2:$I$100, MATCH(MAX(COUNTIFS($B$2:$B$100, B44, $I$2:$I$100, $I$2:$I$100)), COUNTIFS($B$2:$B$100, B44, $I$2:$I$100, $I$2:$I$100), 0))</f>
        <v>Unknown</v>
      </c>
      <c r="R44" s="2">
        <f t="shared" si="18"/>
        <v>96142</v>
      </c>
      <c r="S44" t="str">
        <f t="shared" si="19"/>
        <v>High</v>
      </c>
      <c r="T44" s="4">
        <f t="shared" ca="1" si="20"/>
        <v>46045</v>
      </c>
      <c r="U44" s="1">
        <f t="shared" ca="1" si="21"/>
        <v>46045.877995717594</v>
      </c>
      <c r="V44">
        <f t="shared" si="22"/>
        <v>2016</v>
      </c>
      <c r="W44">
        <f t="shared" si="23"/>
        <v>12</v>
      </c>
      <c r="X44">
        <f t="shared" si="24"/>
        <v>6</v>
      </c>
      <c r="Y44">
        <f t="shared" si="25"/>
        <v>1</v>
      </c>
      <c r="Z44" s="7">
        <f ca="1">DAYS360(Table1[[#This Row],[DATE OF JOINING2]],Table1[[#This Row],[TODAY]])</f>
        <v>3461</v>
      </c>
    </row>
    <row r="45" spans="1:26" x14ac:dyDescent="0.2">
      <c r="A45" t="s">
        <v>128</v>
      </c>
      <c r="B45" t="s">
        <v>41</v>
      </c>
      <c r="C45" t="s">
        <v>42</v>
      </c>
      <c r="D45" t="s">
        <v>38</v>
      </c>
      <c r="E45" t="s">
        <v>58</v>
      </c>
      <c r="F45">
        <v>78245</v>
      </c>
      <c r="G45" s="1">
        <v>42554</v>
      </c>
      <c r="H45">
        <v>2</v>
      </c>
      <c r="J45" t="s">
        <v>129</v>
      </c>
      <c r="L45">
        <f t="shared" si="13"/>
        <v>2016</v>
      </c>
      <c r="M45" s="2">
        <f t="shared" si="14"/>
        <v>2</v>
      </c>
      <c r="N45" t="str">
        <f t="shared" si="15"/>
        <v>UK</v>
      </c>
      <c r="O45" t="str">
        <f t="shared" si="16"/>
        <v>Sam</v>
      </c>
      <c r="P45" s="3">
        <f t="shared" si="17"/>
        <v>42554</v>
      </c>
      <c r="Q45" t="str" cm="1">
        <f t="array" ref="Q45">INDEX($I$2:$I$100, MATCH(MAX(COUNTIFS($B$2:$B$100, B45, $I$2:$I$100, $I$2:$I$100)), COUNTIFS($B$2:$B$100, B45, $I$2:$I$100, $I$2:$I$100), 0))</f>
        <v>Other</v>
      </c>
      <c r="R45" s="2">
        <f t="shared" si="18"/>
        <v>78245</v>
      </c>
      <c r="S45" t="str">
        <f t="shared" si="19"/>
        <v>Medium</v>
      </c>
      <c r="T45" s="4">
        <f t="shared" ca="1" si="20"/>
        <v>46045</v>
      </c>
      <c r="U45" s="1">
        <f t="shared" ca="1" si="21"/>
        <v>46045.877995717594</v>
      </c>
      <c r="V45">
        <f t="shared" si="22"/>
        <v>2016</v>
      </c>
      <c r="W45">
        <f t="shared" si="23"/>
        <v>3</v>
      </c>
      <c r="X45">
        <f t="shared" si="24"/>
        <v>7</v>
      </c>
      <c r="Y45">
        <f t="shared" si="25"/>
        <v>1</v>
      </c>
      <c r="Z45" s="7">
        <f ca="1">DAYS360(Table1[[#This Row],[DATE OF JOINING2]],Table1[[#This Row],[TODAY]])</f>
        <v>3440</v>
      </c>
    </row>
    <row r="46" spans="1:26" x14ac:dyDescent="0.2">
      <c r="A46" t="s">
        <v>130</v>
      </c>
      <c r="B46" t="s">
        <v>36</v>
      </c>
      <c r="C46" t="s">
        <v>37</v>
      </c>
      <c r="D46" t="s">
        <v>82</v>
      </c>
      <c r="E46" t="s">
        <v>61</v>
      </c>
      <c r="F46">
        <v>66079</v>
      </c>
      <c r="G46" s="1">
        <v>42561</v>
      </c>
      <c r="H46">
        <v>2</v>
      </c>
      <c r="I46" t="s">
        <v>29</v>
      </c>
      <c r="J46" t="s">
        <v>131</v>
      </c>
      <c r="L46">
        <f t="shared" si="13"/>
        <v>2016</v>
      </c>
      <c r="M46" s="2">
        <f t="shared" si="14"/>
        <v>2</v>
      </c>
      <c r="N46" t="str">
        <f t="shared" si="15"/>
        <v>USA</v>
      </c>
      <c r="O46" t="str">
        <f t="shared" si="16"/>
        <v>Chris</v>
      </c>
      <c r="P46" s="3">
        <f t="shared" si="17"/>
        <v>42561</v>
      </c>
      <c r="Q46" t="str" cm="1">
        <f t="array" ref="Q46">INDEX($I$2:$I$100, MATCH(MAX(COUNTIFS($B$2:$B$100, B46, $I$2:$I$100, $I$2:$I$100)), COUNTIFS($B$2:$B$100, B46, $I$2:$I$100, $I$2:$I$100), 0))</f>
        <v>Other</v>
      </c>
      <c r="R46" s="2">
        <f t="shared" si="18"/>
        <v>66079</v>
      </c>
      <c r="S46" t="str">
        <f t="shared" si="19"/>
        <v>Medium</v>
      </c>
      <c r="T46" s="4">
        <f t="shared" ca="1" si="20"/>
        <v>46045</v>
      </c>
      <c r="U46" s="1">
        <f t="shared" ca="1" si="21"/>
        <v>46045.877995717594</v>
      </c>
      <c r="V46">
        <f t="shared" si="22"/>
        <v>2016</v>
      </c>
      <c r="W46">
        <f t="shared" si="23"/>
        <v>10</v>
      </c>
      <c r="X46">
        <f t="shared" si="24"/>
        <v>7</v>
      </c>
      <c r="Y46">
        <f t="shared" si="25"/>
        <v>1</v>
      </c>
      <c r="Z46" s="7">
        <f ca="1">DAYS360(Table1[[#This Row],[DATE OF JOINING2]],Table1[[#This Row],[TODAY]])</f>
        <v>3433</v>
      </c>
    </row>
    <row r="47" spans="1:26" x14ac:dyDescent="0.2">
      <c r="A47" t="s">
        <v>132</v>
      </c>
      <c r="B47" t="s">
        <v>25</v>
      </c>
      <c r="C47" t="s">
        <v>26</v>
      </c>
      <c r="D47" t="s">
        <v>38</v>
      </c>
      <c r="E47" t="s">
        <v>43</v>
      </c>
      <c r="F47" t="s">
        <v>21</v>
      </c>
      <c r="G47" s="1"/>
      <c r="J47" t="s">
        <v>133</v>
      </c>
      <c r="L47">
        <f t="shared" si="13"/>
        <v>2017</v>
      </c>
      <c r="M47" s="2">
        <f t="shared" si="14"/>
        <v>2.732394366197183</v>
      </c>
      <c r="N47" t="str">
        <f t="shared" si="15"/>
        <v>India</v>
      </c>
      <c r="O47" t="str">
        <f t="shared" si="16"/>
        <v>Eve</v>
      </c>
      <c r="P47" s="3">
        <f t="shared" si="17"/>
        <v>43051</v>
      </c>
      <c r="Q47" t="str" cm="1">
        <f t="array" ref="Q47">INDEX($I$2:$I$100, MATCH(MAX(COUNTIFS($B$2:$B$100, B47, $I$2:$I$100, $I$2:$I$100)), COUNTIFS($B$2:$B$100, B47, $I$2:$I$100, $I$2:$I$100), 0))</f>
        <v>Other</v>
      </c>
      <c r="R47" s="2">
        <f t="shared" si="18"/>
        <v>66562.506493506487</v>
      </c>
      <c r="S47" t="str">
        <f t="shared" si="19"/>
        <v>Medium</v>
      </c>
      <c r="T47" s="4">
        <f t="shared" ca="1" si="20"/>
        <v>46045</v>
      </c>
      <c r="U47" s="1">
        <f t="shared" ca="1" si="21"/>
        <v>46045.877995717594</v>
      </c>
      <c r="V47">
        <f t="shared" si="22"/>
        <v>2017</v>
      </c>
      <c r="W47">
        <f t="shared" si="23"/>
        <v>12</v>
      </c>
      <c r="X47">
        <f t="shared" si="24"/>
        <v>11</v>
      </c>
      <c r="Y47">
        <f t="shared" si="25"/>
        <v>1</v>
      </c>
      <c r="Z47" s="7">
        <f ca="1">DAYS360(Table1[[#This Row],[DATE OF JOINING2]],Table1[[#This Row],[TODAY]])</f>
        <v>2951</v>
      </c>
    </row>
    <row r="48" spans="1:26" x14ac:dyDescent="0.2">
      <c r="A48" t="s">
        <v>134</v>
      </c>
      <c r="B48" t="s">
        <v>25</v>
      </c>
      <c r="C48" t="s">
        <v>26</v>
      </c>
      <c r="D48" t="s">
        <v>46</v>
      </c>
      <c r="E48" t="s">
        <v>58</v>
      </c>
      <c r="F48">
        <v>42262</v>
      </c>
      <c r="G48" s="1">
        <v>42582</v>
      </c>
      <c r="H48">
        <v>1</v>
      </c>
      <c r="J48" t="s">
        <v>135</v>
      </c>
      <c r="L48">
        <f t="shared" si="13"/>
        <v>2016</v>
      </c>
      <c r="M48" s="2">
        <f t="shared" si="14"/>
        <v>1</v>
      </c>
      <c r="N48" t="str">
        <f t="shared" si="15"/>
        <v>UK</v>
      </c>
      <c r="O48" t="str">
        <f t="shared" si="16"/>
        <v>Eve</v>
      </c>
      <c r="P48" s="3">
        <f t="shared" si="17"/>
        <v>42582</v>
      </c>
      <c r="Q48" t="str" cm="1">
        <f t="array" ref="Q48">INDEX($I$2:$I$100, MATCH(MAX(COUNTIFS($B$2:$B$100, B48, $I$2:$I$100, $I$2:$I$100)), COUNTIFS($B$2:$B$100, B48, $I$2:$I$100, $I$2:$I$100), 0))</f>
        <v>Other</v>
      </c>
      <c r="R48" s="2">
        <f t="shared" si="18"/>
        <v>42262</v>
      </c>
      <c r="S48" t="str">
        <f t="shared" si="19"/>
        <v>Very Low</v>
      </c>
      <c r="T48" s="4">
        <f t="shared" ca="1" si="20"/>
        <v>46045</v>
      </c>
      <c r="U48" s="1">
        <f t="shared" ca="1" si="21"/>
        <v>46045.877995717594</v>
      </c>
      <c r="V48">
        <f t="shared" si="22"/>
        <v>2016</v>
      </c>
      <c r="W48">
        <f t="shared" si="23"/>
        <v>31</v>
      </c>
      <c r="X48">
        <f t="shared" si="24"/>
        <v>7</v>
      </c>
      <c r="Y48">
        <f t="shared" si="25"/>
        <v>1</v>
      </c>
      <c r="Z48" s="7">
        <f ca="1">DAYS360(Table1[[#This Row],[DATE OF JOINING2]],Table1[[#This Row],[TODAY]])</f>
        <v>3413</v>
      </c>
    </row>
    <row r="49" spans="1:26" x14ac:dyDescent="0.2">
      <c r="A49" t="s">
        <v>136</v>
      </c>
      <c r="B49" t="s">
        <v>41</v>
      </c>
      <c r="C49" t="s">
        <v>42</v>
      </c>
      <c r="D49" t="s">
        <v>82</v>
      </c>
      <c r="E49" t="s">
        <v>43</v>
      </c>
      <c r="F49">
        <v>99621</v>
      </c>
      <c r="G49" s="1">
        <v>42589</v>
      </c>
      <c r="I49" t="s">
        <v>29</v>
      </c>
      <c r="J49" t="s">
        <v>137</v>
      </c>
      <c r="L49">
        <f t="shared" si="13"/>
        <v>2016</v>
      </c>
      <c r="M49" s="2">
        <f t="shared" si="14"/>
        <v>2.732394366197183</v>
      </c>
      <c r="N49" t="str">
        <f t="shared" si="15"/>
        <v>India</v>
      </c>
      <c r="O49" t="str">
        <f t="shared" si="16"/>
        <v>Sam</v>
      </c>
      <c r="P49" s="3">
        <f t="shared" si="17"/>
        <v>42589</v>
      </c>
      <c r="Q49" t="str" cm="1">
        <f t="array" ref="Q49">INDEX($I$2:$I$100, MATCH(MAX(COUNTIFS($B$2:$B$100, B49, $I$2:$I$100, $I$2:$I$100)), COUNTIFS($B$2:$B$100, B49, $I$2:$I$100, $I$2:$I$100), 0))</f>
        <v>Other</v>
      </c>
      <c r="R49" s="2">
        <f t="shared" si="18"/>
        <v>99621</v>
      </c>
      <c r="S49" t="str">
        <f t="shared" si="19"/>
        <v>High</v>
      </c>
      <c r="T49" s="4">
        <f t="shared" ca="1" si="20"/>
        <v>46045</v>
      </c>
      <c r="U49" s="1">
        <f t="shared" ca="1" si="21"/>
        <v>46045.877995717594</v>
      </c>
      <c r="V49">
        <f t="shared" si="22"/>
        <v>2016</v>
      </c>
      <c r="W49">
        <f t="shared" si="23"/>
        <v>7</v>
      </c>
      <c r="X49">
        <f t="shared" si="24"/>
        <v>8</v>
      </c>
      <c r="Y49">
        <f t="shared" si="25"/>
        <v>1</v>
      </c>
      <c r="Z49" s="7">
        <f ca="1">DAYS360(Table1[[#This Row],[DATE OF JOINING2]],Table1[[#This Row],[TODAY]])</f>
        <v>3406</v>
      </c>
    </row>
    <row r="50" spans="1:26" x14ac:dyDescent="0.2">
      <c r="A50" t="s">
        <v>138</v>
      </c>
      <c r="B50" t="s">
        <v>36</v>
      </c>
      <c r="C50" t="s">
        <v>37</v>
      </c>
      <c r="D50" t="s">
        <v>20</v>
      </c>
      <c r="F50">
        <v>35163</v>
      </c>
      <c r="G50" s="1">
        <v>42603</v>
      </c>
      <c r="H50">
        <v>5</v>
      </c>
      <c r="I50" t="s">
        <v>29</v>
      </c>
      <c r="J50" t="s">
        <v>139</v>
      </c>
      <c r="L50">
        <f t="shared" si="13"/>
        <v>2016</v>
      </c>
      <c r="M50" s="2">
        <f t="shared" si="14"/>
        <v>5</v>
      </c>
      <c r="N50" t="str">
        <f t="shared" si="15"/>
        <v>UNKNOWN</v>
      </c>
      <c r="O50" t="str">
        <f t="shared" si="16"/>
        <v>Chris</v>
      </c>
      <c r="P50" s="3">
        <f t="shared" si="17"/>
        <v>42603</v>
      </c>
      <c r="Q50" t="str" cm="1">
        <f t="array" ref="Q50">INDEX($I$2:$I$100, MATCH(MAX(COUNTIFS($B$2:$B$100, B50, $I$2:$I$100, $I$2:$I$100)), COUNTIFS($B$2:$B$100, B50, $I$2:$I$100, $I$2:$I$100), 0))</f>
        <v>Other</v>
      </c>
      <c r="R50" s="2">
        <f t="shared" si="18"/>
        <v>35163</v>
      </c>
      <c r="S50" t="str">
        <f t="shared" si="19"/>
        <v>Very Low</v>
      </c>
      <c r="T50" s="4">
        <f t="shared" ca="1" si="20"/>
        <v>46045</v>
      </c>
      <c r="U50" s="1">
        <f t="shared" ca="1" si="21"/>
        <v>46045.877995717594</v>
      </c>
      <c r="V50">
        <f t="shared" si="22"/>
        <v>2016</v>
      </c>
      <c r="W50">
        <f t="shared" si="23"/>
        <v>21</v>
      </c>
      <c r="X50">
        <f t="shared" si="24"/>
        <v>8</v>
      </c>
      <c r="Y50">
        <f t="shared" si="25"/>
        <v>1</v>
      </c>
      <c r="Z50" s="7">
        <f ca="1">DAYS360(Table1[[#This Row],[DATE OF JOINING2]],Table1[[#This Row],[TODAY]])</f>
        <v>3392</v>
      </c>
    </row>
    <row r="51" spans="1:26" x14ac:dyDescent="0.2">
      <c r="A51" t="s">
        <v>140</v>
      </c>
      <c r="B51" t="s">
        <v>36</v>
      </c>
      <c r="C51" t="s">
        <v>37</v>
      </c>
      <c r="D51" t="s">
        <v>46</v>
      </c>
      <c r="F51">
        <v>63434</v>
      </c>
      <c r="G51" s="1">
        <v>42624</v>
      </c>
      <c r="H51">
        <v>3</v>
      </c>
      <c r="J51" t="s">
        <v>141</v>
      </c>
      <c r="L51">
        <f t="shared" si="13"/>
        <v>2016</v>
      </c>
      <c r="M51" s="2">
        <f t="shared" si="14"/>
        <v>3</v>
      </c>
      <c r="N51" t="str">
        <f t="shared" si="15"/>
        <v>UNKNOWN</v>
      </c>
      <c r="O51" t="str">
        <f t="shared" si="16"/>
        <v>Chris</v>
      </c>
      <c r="P51" s="3">
        <f t="shared" si="17"/>
        <v>42624</v>
      </c>
      <c r="Q51" t="str" cm="1">
        <f t="array" ref="Q51">INDEX($I$2:$I$100, MATCH(MAX(COUNTIFS($B$2:$B$100, B51, $I$2:$I$100, $I$2:$I$100)), COUNTIFS($B$2:$B$100, B51, $I$2:$I$100, $I$2:$I$100), 0))</f>
        <v>Other</v>
      </c>
      <c r="R51" s="2">
        <f t="shared" si="18"/>
        <v>63434</v>
      </c>
      <c r="S51" t="str">
        <f t="shared" si="19"/>
        <v>Medium</v>
      </c>
      <c r="T51" s="4">
        <f t="shared" ca="1" si="20"/>
        <v>46045</v>
      </c>
      <c r="U51" s="1">
        <f t="shared" ca="1" si="21"/>
        <v>46045.877995717594</v>
      </c>
      <c r="V51">
        <f t="shared" si="22"/>
        <v>2016</v>
      </c>
      <c r="W51">
        <f t="shared" si="23"/>
        <v>11</v>
      </c>
      <c r="X51">
        <f t="shared" si="24"/>
        <v>9</v>
      </c>
      <c r="Y51">
        <f t="shared" si="25"/>
        <v>1</v>
      </c>
      <c r="Z51" s="7">
        <f ca="1">DAYS360(Table1[[#This Row],[DATE OF JOINING2]],Table1[[#This Row],[TODAY]])</f>
        <v>3372</v>
      </c>
    </row>
    <row r="52" spans="1:26" x14ac:dyDescent="0.2">
      <c r="A52" t="s">
        <v>142</v>
      </c>
      <c r="B52" t="s">
        <v>53</v>
      </c>
      <c r="C52" t="s">
        <v>54</v>
      </c>
      <c r="D52" t="s">
        <v>38</v>
      </c>
      <c r="E52" t="s">
        <v>55</v>
      </c>
      <c r="F52">
        <v>38830</v>
      </c>
      <c r="G52" s="1">
        <v>42631</v>
      </c>
      <c r="H52">
        <v>3</v>
      </c>
      <c r="I52" t="s">
        <v>29</v>
      </c>
      <c r="J52" t="s">
        <v>143</v>
      </c>
      <c r="L52">
        <f t="shared" si="13"/>
        <v>2016</v>
      </c>
      <c r="M52" s="2">
        <f t="shared" si="14"/>
        <v>3</v>
      </c>
      <c r="N52" t="str">
        <f t="shared" si="15"/>
        <v>Australia</v>
      </c>
      <c r="O52" t="str">
        <f t="shared" si="16"/>
        <v>Jane</v>
      </c>
      <c r="P52" s="3">
        <f t="shared" si="17"/>
        <v>42631</v>
      </c>
      <c r="Q52" t="str" cm="1">
        <f t="array" ref="Q52">INDEX($I$2:$I$100, MATCH(MAX(COUNTIFS($B$2:$B$100, B52, $I$2:$I$100, $I$2:$I$100)), COUNTIFS($B$2:$B$100, B52, $I$2:$I$100, $I$2:$I$100), 0))</f>
        <v>Other</v>
      </c>
      <c r="R52" s="2">
        <f t="shared" si="18"/>
        <v>38830</v>
      </c>
      <c r="S52" t="str">
        <f t="shared" si="19"/>
        <v>Very Low</v>
      </c>
      <c r="T52" s="4">
        <f t="shared" ca="1" si="20"/>
        <v>46045</v>
      </c>
      <c r="U52" s="1">
        <f t="shared" ca="1" si="21"/>
        <v>46045.877995717594</v>
      </c>
      <c r="V52">
        <f t="shared" si="22"/>
        <v>2016</v>
      </c>
      <c r="W52">
        <f t="shared" si="23"/>
        <v>18</v>
      </c>
      <c r="X52">
        <f t="shared" si="24"/>
        <v>9</v>
      </c>
      <c r="Y52">
        <f t="shared" si="25"/>
        <v>1</v>
      </c>
      <c r="Z52" s="7">
        <f ca="1">DAYS360(Table1[[#This Row],[DATE OF JOINING2]],Table1[[#This Row],[TODAY]])</f>
        <v>3365</v>
      </c>
    </row>
    <row r="53" spans="1:26" x14ac:dyDescent="0.2">
      <c r="A53" t="s">
        <v>144</v>
      </c>
      <c r="D53" t="s">
        <v>38</v>
      </c>
      <c r="E53" t="s">
        <v>58</v>
      </c>
      <c r="F53">
        <v>50741</v>
      </c>
      <c r="G53" s="1">
        <v>42638</v>
      </c>
      <c r="H53">
        <v>3</v>
      </c>
      <c r="I53" t="s">
        <v>22</v>
      </c>
      <c r="J53" t="s">
        <v>119</v>
      </c>
      <c r="L53">
        <f t="shared" si="13"/>
        <v>2016</v>
      </c>
      <c r="M53" s="2">
        <f t="shared" si="14"/>
        <v>3</v>
      </c>
      <c r="N53" t="str">
        <f t="shared" si="15"/>
        <v>UK</v>
      </c>
      <c r="O53" t="str">
        <f t="shared" si="16"/>
        <v>UNKNOWN</v>
      </c>
      <c r="P53" s="3">
        <f t="shared" si="17"/>
        <v>42638</v>
      </c>
      <c r="Q53" t="str" cm="1">
        <f t="array" ref="Q53">INDEX($I$2:$I$100, MATCH(MAX(COUNTIFS($B$2:$B$100, B53, $I$2:$I$100, $I$2:$I$100)), COUNTIFS($B$2:$B$100, B53, $I$2:$I$100, $I$2:$I$100), 0))</f>
        <v>Unknown</v>
      </c>
      <c r="R53" s="2">
        <f t="shared" si="18"/>
        <v>50741</v>
      </c>
      <c r="S53" t="str">
        <f t="shared" si="19"/>
        <v>Low</v>
      </c>
      <c r="T53" s="4">
        <f t="shared" ca="1" si="20"/>
        <v>46045</v>
      </c>
      <c r="U53" s="1">
        <f t="shared" ca="1" si="21"/>
        <v>46045.877995717594</v>
      </c>
      <c r="V53">
        <f t="shared" si="22"/>
        <v>2016</v>
      </c>
      <c r="W53">
        <f t="shared" si="23"/>
        <v>25</v>
      </c>
      <c r="X53">
        <f t="shared" si="24"/>
        <v>9</v>
      </c>
      <c r="Y53">
        <f t="shared" si="25"/>
        <v>1</v>
      </c>
      <c r="Z53" s="7">
        <f ca="1">DAYS360(Table1[[#This Row],[DATE OF JOINING2]],Table1[[#This Row],[TODAY]])</f>
        <v>3358</v>
      </c>
    </row>
    <row r="54" spans="1:26" x14ac:dyDescent="0.2">
      <c r="A54" t="s">
        <v>145</v>
      </c>
      <c r="B54" t="s">
        <v>32</v>
      </c>
      <c r="C54" t="s">
        <v>33</v>
      </c>
      <c r="D54" t="s">
        <v>20</v>
      </c>
      <c r="E54" t="s">
        <v>55</v>
      </c>
      <c r="F54">
        <v>96101</v>
      </c>
      <c r="G54" s="1">
        <v>42673</v>
      </c>
      <c r="I54" t="s">
        <v>29</v>
      </c>
      <c r="J54" t="s">
        <v>146</v>
      </c>
      <c r="L54">
        <f t="shared" si="13"/>
        <v>2016</v>
      </c>
      <c r="M54" s="2">
        <f t="shared" si="14"/>
        <v>2.732394366197183</v>
      </c>
      <c r="N54" t="str">
        <f t="shared" si="15"/>
        <v>Australia</v>
      </c>
      <c r="O54" t="str">
        <f t="shared" si="16"/>
        <v>Alice</v>
      </c>
      <c r="P54" s="3">
        <f t="shared" si="17"/>
        <v>42673</v>
      </c>
      <c r="Q54" t="str" cm="1">
        <f t="array" ref="Q54">INDEX($I$2:$I$100, MATCH(MAX(COUNTIFS($B$2:$B$100, B54, $I$2:$I$100, $I$2:$I$100)), COUNTIFS($B$2:$B$100, B54, $I$2:$I$100, $I$2:$I$100), 0))</f>
        <v>Other</v>
      </c>
      <c r="R54" s="2">
        <f t="shared" si="18"/>
        <v>96101</v>
      </c>
      <c r="S54" t="str">
        <f t="shared" si="19"/>
        <v>High</v>
      </c>
      <c r="T54" s="4">
        <f t="shared" ca="1" si="20"/>
        <v>46045</v>
      </c>
      <c r="U54" s="1">
        <f t="shared" ca="1" si="21"/>
        <v>46045.877995717594</v>
      </c>
      <c r="V54">
        <f t="shared" si="22"/>
        <v>2016</v>
      </c>
      <c r="W54">
        <f t="shared" si="23"/>
        <v>30</v>
      </c>
      <c r="X54">
        <f t="shared" si="24"/>
        <v>10</v>
      </c>
      <c r="Y54">
        <f t="shared" si="25"/>
        <v>1</v>
      </c>
      <c r="Z54" s="7">
        <f ca="1">DAYS360(Table1[[#This Row],[DATE OF JOINING2]],Table1[[#This Row],[TODAY]])</f>
        <v>3323</v>
      </c>
    </row>
    <row r="55" spans="1:26" x14ac:dyDescent="0.2">
      <c r="A55" t="s">
        <v>147</v>
      </c>
      <c r="B55" t="s">
        <v>53</v>
      </c>
      <c r="C55" t="s">
        <v>54</v>
      </c>
      <c r="D55" t="s">
        <v>20</v>
      </c>
      <c r="E55" t="s">
        <v>61</v>
      </c>
      <c r="F55">
        <v>72939</v>
      </c>
      <c r="G55" s="1">
        <v>42680</v>
      </c>
      <c r="H55">
        <v>3</v>
      </c>
      <c r="J55" t="s">
        <v>148</v>
      </c>
      <c r="L55">
        <f t="shared" si="13"/>
        <v>2016</v>
      </c>
      <c r="M55" s="2">
        <f t="shared" si="14"/>
        <v>3</v>
      </c>
      <c r="N55" t="str">
        <f t="shared" si="15"/>
        <v>USA</v>
      </c>
      <c r="O55" t="str">
        <f t="shared" si="16"/>
        <v>Jane</v>
      </c>
      <c r="P55" s="3">
        <f t="shared" si="17"/>
        <v>42680</v>
      </c>
      <c r="Q55" t="str" cm="1">
        <f t="array" ref="Q55">INDEX($I$2:$I$100, MATCH(MAX(COUNTIFS($B$2:$B$100, B55, $I$2:$I$100, $I$2:$I$100)), COUNTIFS($B$2:$B$100, B55, $I$2:$I$100, $I$2:$I$100), 0))</f>
        <v>Other</v>
      </c>
      <c r="R55" s="2">
        <f t="shared" si="18"/>
        <v>72939</v>
      </c>
      <c r="S55" t="str">
        <f t="shared" si="19"/>
        <v>Medium</v>
      </c>
      <c r="T55" s="4">
        <f t="shared" ca="1" si="20"/>
        <v>46045</v>
      </c>
      <c r="U55" s="1">
        <f t="shared" ca="1" si="21"/>
        <v>46045.877995717594</v>
      </c>
      <c r="V55">
        <f t="shared" si="22"/>
        <v>2016</v>
      </c>
      <c r="W55">
        <f t="shared" si="23"/>
        <v>6</v>
      </c>
      <c r="X55">
        <f t="shared" si="24"/>
        <v>11</v>
      </c>
      <c r="Y55">
        <f t="shared" si="25"/>
        <v>1</v>
      </c>
      <c r="Z55" s="7">
        <f ca="1">DAYS360(Table1[[#This Row],[DATE OF JOINING2]],Table1[[#This Row],[TODAY]])</f>
        <v>3317</v>
      </c>
    </row>
    <row r="56" spans="1:26" x14ac:dyDescent="0.2">
      <c r="A56" t="s">
        <v>149</v>
      </c>
      <c r="B56" t="s">
        <v>49</v>
      </c>
      <c r="C56" t="s">
        <v>50</v>
      </c>
      <c r="D56" t="s">
        <v>38</v>
      </c>
      <c r="F56" t="s">
        <v>21</v>
      </c>
      <c r="G56" s="1">
        <v>42708</v>
      </c>
      <c r="H56">
        <v>2</v>
      </c>
      <c r="I56" t="s">
        <v>29</v>
      </c>
      <c r="J56" t="s">
        <v>150</v>
      </c>
      <c r="L56">
        <f t="shared" si="13"/>
        <v>2016</v>
      </c>
      <c r="M56" s="2">
        <f t="shared" si="14"/>
        <v>2</v>
      </c>
      <c r="N56" t="str">
        <f t="shared" si="15"/>
        <v>UNKNOWN</v>
      </c>
      <c r="O56" t="str">
        <f t="shared" si="16"/>
        <v>Bob</v>
      </c>
      <c r="P56" s="3">
        <f t="shared" si="17"/>
        <v>42708</v>
      </c>
      <c r="Q56" t="str" cm="1">
        <f t="array" ref="Q56">INDEX($I$2:$I$100, MATCH(MAX(COUNTIFS($B$2:$B$100, B56, $I$2:$I$100, $I$2:$I$100)), COUNTIFS($B$2:$B$100, B56, $I$2:$I$100, $I$2:$I$100), 0))</f>
        <v>Other</v>
      </c>
      <c r="R56" s="2">
        <f t="shared" si="18"/>
        <v>66562.506493506487</v>
      </c>
      <c r="S56" t="str">
        <f t="shared" si="19"/>
        <v>Medium</v>
      </c>
      <c r="T56" s="4">
        <f t="shared" ca="1" si="20"/>
        <v>46045</v>
      </c>
      <c r="U56" s="1">
        <f t="shared" ca="1" si="21"/>
        <v>46045.877995717594</v>
      </c>
      <c r="V56">
        <f t="shared" si="22"/>
        <v>2016</v>
      </c>
      <c r="W56">
        <f t="shared" si="23"/>
        <v>4</v>
      </c>
      <c r="X56">
        <f t="shared" si="24"/>
        <v>12</v>
      </c>
      <c r="Y56">
        <f t="shared" si="25"/>
        <v>1</v>
      </c>
      <c r="Z56" s="7">
        <f ca="1">DAYS360(Table1[[#This Row],[DATE OF JOINING2]],Table1[[#This Row],[TODAY]])</f>
        <v>3289</v>
      </c>
    </row>
    <row r="57" spans="1:26" x14ac:dyDescent="0.2">
      <c r="A57" t="s">
        <v>151</v>
      </c>
      <c r="B57" t="s">
        <v>32</v>
      </c>
      <c r="C57" t="s">
        <v>33</v>
      </c>
      <c r="D57" t="s">
        <v>38</v>
      </c>
      <c r="F57">
        <v>79145</v>
      </c>
      <c r="G57" s="1">
        <v>42729</v>
      </c>
      <c r="H57">
        <v>5</v>
      </c>
      <c r="I57" t="s">
        <v>29</v>
      </c>
      <c r="J57" t="s">
        <v>93</v>
      </c>
      <c r="L57">
        <f t="shared" si="13"/>
        <v>2016</v>
      </c>
      <c r="M57" s="2">
        <f t="shared" si="14"/>
        <v>5</v>
      </c>
      <c r="N57" t="str">
        <f t="shared" si="15"/>
        <v>UNKNOWN</v>
      </c>
      <c r="O57" t="str">
        <f t="shared" si="16"/>
        <v>Alice</v>
      </c>
      <c r="P57" s="3">
        <f t="shared" si="17"/>
        <v>42729</v>
      </c>
      <c r="Q57" t="str" cm="1">
        <f t="array" ref="Q57">INDEX($I$2:$I$100, MATCH(MAX(COUNTIFS($B$2:$B$100, B57, $I$2:$I$100, $I$2:$I$100)), COUNTIFS($B$2:$B$100, B57, $I$2:$I$100, $I$2:$I$100), 0))</f>
        <v>Other</v>
      </c>
      <c r="R57" s="2">
        <f t="shared" si="18"/>
        <v>79145</v>
      </c>
      <c r="S57" t="str">
        <f t="shared" si="19"/>
        <v>Medium</v>
      </c>
      <c r="T57" s="4">
        <f t="shared" ca="1" si="20"/>
        <v>46045</v>
      </c>
      <c r="U57" s="1">
        <f t="shared" ca="1" si="21"/>
        <v>46045.877995717594</v>
      </c>
      <c r="V57">
        <f t="shared" si="22"/>
        <v>2016</v>
      </c>
      <c r="W57">
        <f t="shared" si="23"/>
        <v>25</v>
      </c>
      <c r="X57">
        <f t="shared" si="24"/>
        <v>12</v>
      </c>
      <c r="Y57">
        <f t="shared" si="25"/>
        <v>1</v>
      </c>
      <c r="Z57" s="7">
        <f ca="1">DAYS360(Table1[[#This Row],[DATE OF JOINING2]],Table1[[#This Row],[TODAY]])</f>
        <v>3268</v>
      </c>
    </row>
    <row r="58" spans="1:26" x14ac:dyDescent="0.2">
      <c r="A58" t="s">
        <v>152</v>
      </c>
      <c r="B58" t="s">
        <v>53</v>
      </c>
      <c r="C58" t="s">
        <v>54</v>
      </c>
      <c r="D58" t="s">
        <v>38</v>
      </c>
      <c r="E58" t="s">
        <v>55</v>
      </c>
      <c r="F58">
        <v>61556</v>
      </c>
      <c r="G58" s="1">
        <v>42736</v>
      </c>
      <c r="H58">
        <v>1</v>
      </c>
      <c r="J58" t="s">
        <v>150</v>
      </c>
      <c r="L58">
        <f t="shared" si="13"/>
        <v>2017</v>
      </c>
      <c r="M58" s="2">
        <f t="shared" si="14"/>
        <v>1</v>
      </c>
      <c r="N58" t="str">
        <f t="shared" si="15"/>
        <v>Australia</v>
      </c>
      <c r="O58" t="str">
        <f t="shared" si="16"/>
        <v>Jane</v>
      </c>
      <c r="P58" s="3">
        <f t="shared" si="17"/>
        <v>42736</v>
      </c>
      <c r="Q58" t="str" cm="1">
        <f t="array" ref="Q58">INDEX($I$2:$I$100, MATCH(MAX(COUNTIFS($B$2:$B$100, B58, $I$2:$I$100, $I$2:$I$100)), COUNTIFS($B$2:$B$100, B58, $I$2:$I$100, $I$2:$I$100), 0))</f>
        <v>Other</v>
      </c>
      <c r="R58" s="2">
        <f t="shared" si="18"/>
        <v>61556</v>
      </c>
      <c r="S58" t="str">
        <f t="shared" si="19"/>
        <v>Medium</v>
      </c>
      <c r="T58" s="4">
        <f t="shared" ca="1" si="20"/>
        <v>46045</v>
      </c>
      <c r="U58" s="1">
        <f t="shared" ca="1" si="21"/>
        <v>46045.877995717594</v>
      </c>
      <c r="V58">
        <f t="shared" si="22"/>
        <v>2017</v>
      </c>
      <c r="W58">
        <f t="shared" si="23"/>
        <v>1</v>
      </c>
      <c r="X58">
        <f t="shared" si="24"/>
        <v>1</v>
      </c>
      <c r="Y58">
        <f t="shared" si="25"/>
        <v>1</v>
      </c>
      <c r="Z58" s="7">
        <f ca="1">DAYS360(Table1[[#This Row],[DATE OF JOINING2]],Table1[[#This Row],[TODAY]])</f>
        <v>3262</v>
      </c>
    </row>
    <row r="59" spans="1:26" x14ac:dyDescent="0.2">
      <c r="A59" t="s">
        <v>153</v>
      </c>
      <c r="D59" t="s">
        <v>27</v>
      </c>
      <c r="E59" t="s">
        <v>58</v>
      </c>
      <c r="F59">
        <v>87963</v>
      </c>
      <c r="G59" s="1">
        <v>42743</v>
      </c>
      <c r="H59">
        <v>3</v>
      </c>
      <c r="I59" t="s">
        <v>29</v>
      </c>
      <c r="J59" t="s">
        <v>23</v>
      </c>
      <c r="L59">
        <f t="shared" si="13"/>
        <v>2017</v>
      </c>
      <c r="M59" s="2">
        <f t="shared" si="14"/>
        <v>3</v>
      </c>
      <c r="N59" t="str">
        <f t="shared" si="15"/>
        <v>UK</v>
      </c>
      <c r="O59" t="str">
        <f t="shared" si="16"/>
        <v>UNKNOWN</v>
      </c>
      <c r="P59" s="3">
        <f t="shared" si="17"/>
        <v>42743</v>
      </c>
      <c r="Q59" t="str" cm="1">
        <f t="array" ref="Q59">INDEX($I$2:$I$100, MATCH(MAX(COUNTIFS($B$2:$B$100, B59, $I$2:$I$100, $I$2:$I$100)), COUNTIFS($B$2:$B$100, B59, $I$2:$I$100, $I$2:$I$100), 0))</f>
        <v>Unknown</v>
      </c>
      <c r="R59" s="2">
        <f t="shared" si="18"/>
        <v>87963</v>
      </c>
      <c r="S59" t="str">
        <f t="shared" si="19"/>
        <v>Medium</v>
      </c>
      <c r="T59" s="4">
        <f t="shared" ca="1" si="20"/>
        <v>46045</v>
      </c>
      <c r="U59" s="1">
        <f t="shared" ca="1" si="21"/>
        <v>46045.877995717594</v>
      </c>
      <c r="V59">
        <f t="shared" si="22"/>
        <v>2017</v>
      </c>
      <c r="W59">
        <f t="shared" si="23"/>
        <v>8</v>
      </c>
      <c r="X59">
        <f t="shared" si="24"/>
        <v>1</v>
      </c>
      <c r="Y59">
        <f t="shared" si="25"/>
        <v>1</v>
      </c>
      <c r="Z59" s="7">
        <f ca="1">DAYS360(Table1[[#This Row],[DATE OF JOINING2]],Table1[[#This Row],[TODAY]])</f>
        <v>3255</v>
      </c>
    </row>
    <row r="60" spans="1:26" x14ac:dyDescent="0.2">
      <c r="A60" t="s">
        <v>154</v>
      </c>
      <c r="B60" t="s">
        <v>41</v>
      </c>
      <c r="C60" t="s">
        <v>42</v>
      </c>
      <c r="D60" t="s">
        <v>27</v>
      </c>
      <c r="F60">
        <v>66761</v>
      </c>
      <c r="G60" s="1">
        <v>42764</v>
      </c>
      <c r="H60">
        <v>1</v>
      </c>
      <c r="J60" t="s">
        <v>155</v>
      </c>
      <c r="L60">
        <f t="shared" si="13"/>
        <v>2017</v>
      </c>
      <c r="M60" s="2">
        <f t="shared" si="14"/>
        <v>1</v>
      </c>
      <c r="N60" t="str">
        <f t="shared" si="15"/>
        <v>UNKNOWN</v>
      </c>
      <c r="O60" t="str">
        <f t="shared" si="16"/>
        <v>Sam</v>
      </c>
      <c r="P60" s="3">
        <f t="shared" si="17"/>
        <v>42764</v>
      </c>
      <c r="Q60" t="str" cm="1">
        <f t="array" ref="Q60">INDEX($I$2:$I$100, MATCH(MAX(COUNTIFS($B$2:$B$100, B60, $I$2:$I$100, $I$2:$I$100)), COUNTIFS($B$2:$B$100, B60, $I$2:$I$100, $I$2:$I$100), 0))</f>
        <v>Other</v>
      </c>
      <c r="R60" s="2">
        <f t="shared" si="18"/>
        <v>66761</v>
      </c>
      <c r="S60" t="str">
        <f t="shared" si="19"/>
        <v>Medium</v>
      </c>
      <c r="T60" s="4">
        <f t="shared" ca="1" si="20"/>
        <v>46045</v>
      </c>
      <c r="U60" s="1">
        <f t="shared" ca="1" si="21"/>
        <v>46045.877995717594</v>
      </c>
      <c r="V60">
        <f t="shared" si="22"/>
        <v>2017</v>
      </c>
      <c r="W60">
        <f t="shared" si="23"/>
        <v>29</v>
      </c>
      <c r="X60">
        <f t="shared" si="24"/>
        <v>1</v>
      </c>
      <c r="Y60">
        <f t="shared" si="25"/>
        <v>1</v>
      </c>
      <c r="Z60" s="7">
        <f ca="1">DAYS360(Table1[[#This Row],[DATE OF JOINING2]],Table1[[#This Row],[TODAY]])</f>
        <v>3234</v>
      </c>
    </row>
    <row r="61" spans="1:26" x14ac:dyDescent="0.2">
      <c r="A61" t="s">
        <v>156</v>
      </c>
      <c r="B61" t="s">
        <v>25</v>
      </c>
      <c r="C61" t="s">
        <v>26</v>
      </c>
      <c r="D61" t="s">
        <v>20</v>
      </c>
      <c r="E61" t="s">
        <v>43</v>
      </c>
      <c r="F61">
        <v>78330</v>
      </c>
      <c r="G61" s="1">
        <v>42792</v>
      </c>
      <c r="I61" t="s">
        <v>29</v>
      </c>
      <c r="J61" t="s">
        <v>157</v>
      </c>
      <c r="L61">
        <f t="shared" si="13"/>
        <v>2017</v>
      </c>
      <c r="M61" s="2">
        <f t="shared" si="14"/>
        <v>2.732394366197183</v>
      </c>
      <c r="N61" t="str">
        <f t="shared" si="15"/>
        <v>India</v>
      </c>
      <c r="O61" t="str">
        <f t="shared" si="16"/>
        <v>Eve</v>
      </c>
      <c r="P61" s="3">
        <f t="shared" si="17"/>
        <v>42792</v>
      </c>
      <c r="Q61" t="str" cm="1">
        <f t="array" ref="Q61">INDEX($I$2:$I$100, MATCH(MAX(COUNTIFS($B$2:$B$100, B61, $I$2:$I$100, $I$2:$I$100)), COUNTIFS($B$2:$B$100, B61, $I$2:$I$100, $I$2:$I$100), 0))</f>
        <v>Other</v>
      </c>
      <c r="R61" s="2">
        <f t="shared" si="18"/>
        <v>78330</v>
      </c>
      <c r="S61" t="str">
        <f t="shared" si="19"/>
        <v>Medium</v>
      </c>
      <c r="T61" s="4">
        <f t="shared" ca="1" si="20"/>
        <v>46045</v>
      </c>
      <c r="U61" s="1">
        <f t="shared" ca="1" si="21"/>
        <v>46045.877995717594</v>
      </c>
      <c r="V61">
        <f t="shared" si="22"/>
        <v>2017</v>
      </c>
      <c r="W61">
        <f t="shared" si="23"/>
        <v>26</v>
      </c>
      <c r="X61">
        <f t="shared" si="24"/>
        <v>2</v>
      </c>
      <c r="Y61">
        <f t="shared" si="25"/>
        <v>1</v>
      </c>
      <c r="Z61" s="7">
        <f ca="1">DAYS360(Table1[[#This Row],[DATE OF JOINING2]],Table1[[#This Row],[TODAY]])</f>
        <v>3207</v>
      </c>
    </row>
    <row r="62" spans="1:26" x14ac:dyDescent="0.2">
      <c r="A62" t="s">
        <v>158</v>
      </c>
      <c r="B62" t="s">
        <v>25</v>
      </c>
      <c r="C62" t="s">
        <v>26</v>
      </c>
      <c r="D62" t="s">
        <v>38</v>
      </c>
      <c r="E62" t="s">
        <v>58</v>
      </c>
      <c r="F62">
        <v>44627</v>
      </c>
      <c r="G62" s="1">
        <v>42806</v>
      </c>
      <c r="H62">
        <v>4</v>
      </c>
      <c r="J62" t="s">
        <v>114</v>
      </c>
      <c r="L62">
        <f t="shared" si="13"/>
        <v>2017</v>
      </c>
      <c r="M62" s="2">
        <f t="shared" si="14"/>
        <v>4</v>
      </c>
      <c r="N62" t="str">
        <f t="shared" si="15"/>
        <v>UK</v>
      </c>
      <c r="O62" t="str">
        <f t="shared" si="16"/>
        <v>Eve</v>
      </c>
      <c r="P62" s="3">
        <f t="shared" si="17"/>
        <v>42806</v>
      </c>
      <c r="Q62" t="str" cm="1">
        <f t="array" ref="Q62">INDEX($I$2:$I$100, MATCH(MAX(COUNTIFS($B$2:$B$100, B62, $I$2:$I$100, $I$2:$I$100)), COUNTIFS($B$2:$B$100, B62, $I$2:$I$100, $I$2:$I$100), 0))</f>
        <v>Other</v>
      </c>
      <c r="R62" s="2">
        <f t="shared" si="18"/>
        <v>44627</v>
      </c>
      <c r="S62" t="str">
        <f t="shared" si="19"/>
        <v>Very Low</v>
      </c>
      <c r="T62" s="4">
        <f t="shared" ca="1" si="20"/>
        <v>46045</v>
      </c>
      <c r="U62" s="1">
        <f t="shared" ca="1" si="21"/>
        <v>46045.877995717594</v>
      </c>
      <c r="V62">
        <f t="shared" si="22"/>
        <v>2017</v>
      </c>
      <c r="W62">
        <f t="shared" si="23"/>
        <v>12</v>
      </c>
      <c r="X62">
        <f t="shared" si="24"/>
        <v>3</v>
      </c>
      <c r="Y62">
        <f t="shared" si="25"/>
        <v>1</v>
      </c>
      <c r="Z62" s="7">
        <f ca="1">DAYS360(Table1[[#This Row],[DATE OF JOINING2]],Table1[[#This Row],[TODAY]])</f>
        <v>3191</v>
      </c>
    </row>
    <row r="63" spans="1:26" x14ac:dyDescent="0.2">
      <c r="A63" t="s">
        <v>159</v>
      </c>
      <c r="B63" t="s">
        <v>49</v>
      </c>
      <c r="C63" t="s">
        <v>50</v>
      </c>
      <c r="D63" t="s">
        <v>38</v>
      </c>
      <c r="F63">
        <v>73483</v>
      </c>
      <c r="G63" s="1">
        <v>42827</v>
      </c>
      <c r="H63">
        <v>1</v>
      </c>
      <c r="J63" t="s">
        <v>160</v>
      </c>
      <c r="L63">
        <f t="shared" si="13"/>
        <v>2017</v>
      </c>
      <c r="M63" s="2">
        <f t="shared" si="14"/>
        <v>1</v>
      </c>
      <c r="N63" t="str">
        <f t="shared" si="15"/>
        <v>UNKNOWN</v>
      </c>
      <c r="O63" t="str">
        <f t="shared" si="16"/>
        <v>Bob</v>
      </c>
      <c r="P63" s="3">
        <f t="shared" si="17"/>
        <v>42827</v>
      </c>
      <c r="Q63" t="str" cm="1">
        <f t="array" ref="Q63">INDEX($I$2:$I$100, MATCH(MAX(COUNTIFS($B$2:$B$100, B63, $I$2:$I$100, $I$2:$I$100)), COUNTIFS($B$2:$B$100, B63, $I$2:$I$100, $I$2:$I$100), 0))</f>
        <v>Other</v>
      </c>
      <c r="R63" s="2">
        <f t="shared" si="18"/>
        <v>73483</v>
      </c>
      <c r="S63" t="str">
        <f t="shared" si="19"/>
        <v>Medium</v>
      </c>
      <c r="T63" s="4">
        <f t="shared" ca="1" si="20"/>
        <v>46045</v>
      </c>
      <c r="U63" s="1">
        <f t="shared" ca="1" si="21"/>
        <v>46045.877995717594</v>
      </c>
      <c r="V63">
        <f t="shared" si="22"/>
        <v>2017</v>
      </c>
      <c r="W63">
        <f t="shared" si="23"/>
        <v>2</v>
      </c>
      <c r="X63">
        <f t="shared" si="24"/>
        <v>4</v>
      </c>
      <c r="Y63">
        <f t="shared" si="25"/>
        <v>1</v>
      </c>
      <c r="Z63" s="7">
        <f ca="1">DAYS360(Table1[[#This Row],[DATE OF JOINING2]],Table1[[#This Row],[TODAY]])</f>
        <v>3171</v>
      </c>
    </row>
    <row r="64" spans="1:26" x14ac:dyDescent="0.2">
      <c r="A64" t="s">
        <v>161</v>
      </c>
      <c r="B64" t="s">
        <v>36</v>
      </c>
      <c r="C64" t="s">
        <v>37</v>
      </c>
      <c r="D64" t="s">
        <v>82</v>
      </c>
      <c r="E64" t="s">
        <v>43</v>
      </c>
      <c r="F64">
        <v>95032</v>
      </c>
      <c r="G64" s="1">
        <v>42834</v>
      </c>
      <c r="H64">
        <v>3</v>
      </c>
      <c r="J64" t="s">
        <v>162</v>
      </c>
      <c r="L64">
        <f t="shared" si="13"/>
        <v>2017</v>
      </c>
      <c r="M64" s="2">
        <f t="shared" si="14"/>
        <v>3</v>
      </c>
      <c r="N64" t="str">
        <f t="shared" si="15"/>
        <v>India</v>
      </c>
      <c r="O64" t="str">
        <f t="shared" si="16"/>
        <v>Chris</v>
      </c>
      <c r="P64" s="3">
        <f t="shared" si="17"/>
        <v>42834</v>
      </c>
      <c r="Q64" t="str" cm="1">
        <f t="array" ref="Q64">INDEX($I$2:$I$100, MATCH(MAX(COUNTIFS($B$2:$B$100, B64, $I$2:$I$100, $I$2:$I$100)), COUNTIFS($B$2:$B$100, B64, $I$2:$I$100, $I$2:$I$100), 0))</f>
        <v>Other</v>
      </c>
      <c r="R64" s="2">
        <f t="shared" si="18"/>
        <v>95032</v>
      </c>
      <c r="S64" t="str">
        <f t="shared" si="19"/>
        <v>High</v>
      </c>
      <c r="T64" s="4">
        <f t="shared" ca="1" si="20"/>
        <v>46045</v>
      </c>
      <c r="U64" s="1">
        <f t="shared" ca="1" si="21"/>
        <v>46045.877995717594</v>
      </c>
      <c r="V64">
        <f t="shared" si="22"/>
        <v>2017</v>
      </c>
      <c r="W64">
        <f t="shared" si="23"/>
        <v>9</v>
      </c>
      <c r="X64">
        <f t="shared" si="24"/>
        <v>4</v>
      </c>
      <c r="Y64">
        <f t="shared" si="25"/>
        <v>1</v>
      </c>
      <c r="Z64" s="7">
        <f ca="1">DAYS360(Table1[[#This Row],[DATE OF JOINING2]],Table1[[#This Row],[TODAY]])</f>
        <v>3164</v>
      </c>
    </row>
    <row r="65" spans="1:26" x14ac:dyDescent="0.2">
      <c r="A65" t="s">
        <v>163</v>
      </c>
      <c r="D65" t="s">
        <v>46</v>
      </c>
      <c r="E65" t="s">
        <v>61</v>
      </c>
      <c r="F65" t="s">
        <v>21</v>
      </c>
      <c r="G65" s="1"/>
      <c r="H65">
        <v>5</v>
      </c>
      <c r="I65" t="s">
        <v>22</v>
      </c>
      <c r="J65" t="s">
        <v>164</v>
      </c>
      <c r="L65">
        <f t="shared" si="13"/>
        <v>2017</v>
      </c>
      <c r="M65" s="2">
        <f t="shared" si="14"/>
        <v>5</v>
      </c>
      <c r="N65" t="str">
        <f t="shared" si="15"/>
        <v>USA</v>
      </c>
      <c r="O65" t="str">
        <f t="shared" si="16"/>
        <v>UNKNOWN</v>
      </c>
      <c r="P65" s="3">
        <f t="shared" si="17"/>
        <v>43051</v>
      </c>
      <c r="Q65" t="str" cm="1">
        <f t="array" ref="Q65">INDEX($I$2:$I$100, MATCH(MAX(COUNTIFS($B$2:$B$100, B65, $I$2:$I$100, $I$2:$I$100)), COUNTIFS($B$2:$B$100, B65, $I$2:$I$100, $I$2:$I$100), 0))</f>
        <v>Unknown</v>
      </c>
      <c r="R65" s="2">
        <f t="shared" si="18"/>
        <v>66562.506493506487</v>
      </c>
      <c r="S65" t="str">
        <f t="shared" si="19"/>
        <v>Medium</v>
      </c>
      <c r="T65" s="4">
        <f t="shared" ca="1" si="20"/>
        <v>46045</v>
      </c>
      <c r="U65" s="1">
        <f t="shared" ca="1" si="21"/>
        <v>46045.877995717594</v>
      </c>
      <c r="V65">
        <f t="shared" si="22"/>
        <v>2017</v>
      </c>
      <c r="W65">
        <f t="shared" si="23"/>
        <v>12</v>
      </c>
      <c r="X65">
        <f t="shared" si="24"/>
        <v>11</v>
      </c>
      <c r="Y65">
        <f t="shared" si="25"/>
        <v>1</v>
      </c>
      <c r="Z65" s="7">
        <f ca="1">DAYS360(Table1[[#This Row],[DATE OF JOINING2]],Table1[[#This Row],[TODAY]])</f>
        <v>2951</v>
      </c>
    </row>
    <row r="66" spans="1:26" x14ac:dyDescent="0.2">
      <c r="A66" t="s">
        <v>165</v>
      </c>
      <c r="B66" t="s">
        <v>36</v>
      </c>
      <c r="C66" t="s">
        <v>37</v>
      </c>
      <c r="D66" t="s">
        <v>82</v>
      </c>
      <c r="E66" t="s">
        <v>61</v>
      </c>
      <c r="F66">
        <v>45676</v>
      </c>
      <c r="G66" s="1">
        <v>42855</v>
      </c>
      <c r="H66">
        <v>2</v>
      </c>
      <c r="J66" t="s">
        <v>166</v>
      </c>
      <c r="L66">
        <f t="shared" ref="L66:L85" si="26">YEAR(P66)</f>
        <v>2017</v>
      </c>
      <c r="M66" s="2">
        <f t="shared" ref="M66:M85" si="27">IF(H66="",AVERAGE($H:$H),H66)</f>
        <v>2</v>
      </c>
      <c r="N66" t="str">
        <f t="shared" ref="N66:N85" si="28">IF(E66="","UNKNOWN",E66)</f>
        <v>USA</v>
      </c>
      <c r="O66" t="str">
        <f t="shared" ref="O66:O85" si="29">IF(B66="","UNKNOWN",B66)</f>
        <v>Chris</v>
      </c>
      <c r="P66" s="3">
        <f t="shared" ref="P66:P85" si="30">IF(G66="",MAX($G:$G),G66)</f>
        <v>42855</v>
      </c>
      <c r="Q66" t="str" cm="1">
        <f t="array" ref="Q66">INDEX($I$2:$I$100, MATCH(MAX(COUNTIFS($B$2:$B$100, B66, $I$2:$I$100, $I$2:$I$100)), COUNTIFS($B$2:$B$100, B66, $I$2:$I$100, $I$2:$I$100), 0))</f>
        <v>Other</v>
      </c>
      <c r="R66" s="2">
        <f t="shared" ref="R66:R85" si="31">IF(F66="N/A",AVERAGE($F$2:$F$150),F66)</f>
        <v>45676</v>
      </c>
      <c r="S66" t="str">
        <f t="shared" ref="S66:S85" si="32">IF(R66&gt;=90000,"High",IF(R66&gt;=60000,"Medium",IF(R66&gt;=50000,"Low","Very Low")))</f>
        <v>Very Low</v>
      </c>
      <c r="T66" s="4">
        <f t="shared" ref="T66:T85" ca="1" si="33">TODAY()</f>
        <v>46045</v>
      </c>
      <c r="U66" s="1">
        <f t="shared" ref="U66:U85" ca="1" si="34">NOW()</f>
        <v>46045.877995717594</v>
      </c>
      <c r="V66">
        <f t="shared" ref="V66:V85" si="35">YEAR(P66)</f>
        <v>2017</v>
      </c>
      <c r="W66">
        <f t="shared" ref="W66:W85" si="36">DAY(P66)</f>
        <v>30</v>
      </c>
      <c r="X66">
        <f t="shared" ref="X66:X85" si="37">MONTH(P66)</f>
        <v>4</v>
      </c>
      <c r="Y66">
        <f t="shared" ref="Y66:Y85" si="38">WEEKDAY(P66)</f>
        <v>1</v>
      </c>
      <c r="Z66" s="7">
        <f ca="1">DAYS360(Table1[[#This Row],[DATE OF JOINING2]],Table1[[#This Row],[TODAY]])</f>
        <v>3143</v>
      </c>
    </row>
    <row r="67" spans="1:26" x14ac:dyDescent="0.2">
      <c r="A67" t="s">
        <v>167</v>
      </c>
      <c r="B67" t="s">
        <v>80</v>
      </c>
      <c r="C67" t="s">
        <v>81</v>
      </c>
      <c r="D67" t="s">
        <v>20</v>
      </c>
      <c r="F67">
        <v>90019</v>
      </c>
      <c r="G67" s="1">
        <v>42883</v>
      </c>
      <c r="H67">
        <v>5</v>
      </c>
      <c r="J67" t="s">
        <v>168</v>
      </c>
      <c r="L67">
        <f t="shared" si="26"/>
        <v>2017</v>
      </c>
      <c r="M67" s="2">
        <f t="shared" si="27"/>
        <v>5</v>
      </c>
      <c r="N67" t="str">
        <f t="shared" si="28"/>
        <v>UNKNOWN</v>
      </c>
      <c r="O67" t="str">
        <f t="shared" si="29"/>
        <v>John</v>
      </c>
      <c r="P67" s="3">
        <f t="shared" si="30"/>
        <v>42883</v>
      </c>
      <c r="Q67" t="str" cm="1">
        <f t="array" ref="Q67">INDEX($I$2:$I$100, MATCH(MAX(COUNTIFS($B$2:$B$100, B67, $I$2:$I$100, $I$2:$I$100)), COUNTIFS($B$2:$B$100, B67, $I$2:$I$100, $I$2:$I$100), 0))</f>
        <v>Other</v>
      </c>
      <c r="R67" s="2">
        <f t="shared" si="31"/>
        <v>90019</v>
      </c>
      <c r="S67" t="str">
        <f t="shared" si="32"/>
        <v>High</v>
      </c>
      <c r="T67" s="4">
        <f t="shared" ca="1" si="33"/>
        <v>46045</v>
      </c>
      <c r="U67" s="1">
        <f t="shared" ca="1" si="34"/>
        <v>46045.877995717594</v>
      </c>
      <c r="V67">
        <f t="shared" si="35"/>
        <v>2017</v>
      </c>
      <c r="W67">
        <f t="shared" si="36"/>
        <v>28</v>
      </c>
      <c r="X67">
        <f t="shared" si="37"/>
        <v>5</v>
      </c>
      <c r="Y67">
        <f t="shared" si="38"/>
        <v>1</v>
      </c>
      <c r="Z67" s="7">
        <f ca="1">DAYS360(Table1[[#This Row],[DATE OF JOINING2]],Table1[[#This Row],[TODAY]])</f>
        <v>3115</v>
      </c>
    </row>
    <row r="68" spans="1:26" x14ac:dyDescent="0.2">
      <c r="A68" t="s">
        <v>169</v>
      </c>
      <c r="B68" t="s">
        <v>36</v>
      </c>
      <c r="C68" t="s">
        <v>37</v>
      </c>
      <c r="D68" t="s">
        <v>82</v>
      </c>
      <c r="E68" t="s">
        <v>61</v>
      </c>
      <c r="F68">
        <v>30402</v>
      </c>
      <c r="G68" s="1">
        <v>42904</v>
      </c>
      <c r="H68">
        <v>1</v>
      </c>
      <c r="J68" t="s">
        <v>170</v>
      </c>
      <c r="L68">
        <f t="shared" si="26"/>
        <v>2017</v>
      </c>
      <c r="M68" s="2">
        <f t="shared" si="27"/>
        <v>1</v>
      </c>
      <c r="N68" t="str">
        <f t="shared" si="28"/>
        <v>USA</v>
      </c>
      <c r="O68" t="str">
        <f t="shared" si="29"/>
        <v>Chris</v>
      </c>
      <c r="P68" s="3">
        <f t="shared" si="30"/>
        <v>42904</v>
      </c>
      <c r="Q68" t="str" cm="1">
        <f t="array" ref="Q68">INDEX($I$2:$I$100, MATCH(MAX(COUNTIFS($B$2:$B$100, B68, $I$2:$I$100, $I$2:$I$100)), COUNTIFS($B$2:$B$100, B68, $I$2:$I$100, $I$2:$I$100), 0))</f>
        <v>Other</v>
      </c>
      <c r="R68" s="2">
        <f t="shared" si="31"/>
        <v>30402</v>
      </c>
      <c r="S68" t="str">
        <f t="shared" si="32"/>
        <v>Very Low</v>
      </c>
      <c r="T68" s="4">
        <f t="shared" ca="1" si="33"/>
        <v>46045</v>
      </c>
      <c r="U68" s="1">
        <f t="shared" ca="1" si="34"/>
        <v>46045.877995717594</v>
      </c>
      <c r="V68">
        <f t="shared" si="35"/>
        <v>2017</v>
      </c>
      <c r="W68">
        <f t="shared" si="36"/>
        <v>18</v>
      </c>
      <c r="X68">
        <f t="shared" si="37"/>
        <v>6</v>
      </c>
      <c r="Y68">
        <f t="shared" si="38"/>
        <v>1</v>
      </c>
      <c r="Z68" s="7">
        <f ca="1">DAYS360(Table1[[#This Row],[DATE OF JOINING2]],Table1[[#This Row],[TODAY]])</f>
        <v>3095</v>
      </c>
    </row>
    <row r="69" spans="1:26" x14ac:dyDescent="0.2">
      <c r="A69" t="s">
        <v>171</v>
      </c>
      <c r="B69" t="s">
        <v>49</v>
      </c>
      <c r="C69" t="s">
        <v>50</v>
      </c>
      <c r="D69" t="s">
        <v>38</v>
      </c>
      <c r="E69" t="s">
        <v>58</v>
      </c>
      <c r="F69">
        <v>62994</v>
      </c>
      <c r="G69" s="1">
        <v>42911</v>
      </c>
      <c r="J69" t="s">
        <v>172</v>
      </c>
      <c r="L69">
        <f t="shared" si="26"/>
        <v>2017</v>
      </c>
      <c r="M69" s="2">
        <f t="shared" si="27"/>
        <v>2.732394366197183</v>
      </c>
      <c r="N69" t="str">
        <f t="shared" si="28"/>
        <v>UK</v>
      </c>
      <c r="O69" t="str">
        <f t="shared" si="29"/>
        <v>Bob</v>
      </c>
      <c r="P69" s="3">
        <f t="shared" si="30"/>
        <v>42911</v>
      </c>
      <c r="Q69" t="str" cm="1">
        <f t="array" ref="Q69">INDEX($I$2:$I$100, MATCH(MAX(COUNTIFS($B$2:$B$100, B69, $I$2:$I$100, $I$2:$I$100)), COUNTIFS($B$2:$B$100, B69, $I$2:$I$100, $I$2:$I$100), 0))</f>
        <v>Other</v>
      </c>
      <c r="R69" s="2">
        <f t="shared" si="31"/>
        <v>62994</v>
      </c>
      <c r="S69" t="str">
        <f t="shared" si="32"/>
        <v>Medium</v>
      </c>
      <c r="T69" s="4">
        <f t="shared" ca="1" si="33"/>
        <v>46045</v>
      </c>
      <c r="U69" s="1">
        <f t="shared" ca="1" si="34"/>
        <v>46045.877995717594</v>
      </c>
      <c r="V69">
        <f t="shared" si="35"/>
        <v>2017</v>
      </c>
      <c r="W69">
        <f t="shared" si="36"/>
        <v>25</v>
      </c>
      <c r="X69">
        <f t="shared" si="37"/>
        <v>6</v>
      </c>
      <c r="Y69">
        <f t="shared" si="38"/>
        <v>1</v>
      </c>
      <c r="Z69" s="7">
        <f ca="1">DAYS360(Table1[[#This Row],[DATE OF JOINING2]],Table1[[#This Row],[TODAY]])</f>
        <v>3088</v>
      </c>
    </row>
    <row r="70" spans="1:26" x14ac:dyDescent="0.2">
      <c r="A70" t="s">
        <v>173</v>
      </c>
      <c r="B70" t="s">
        <v>41</v>
      </c>
      <c r="C70" t="s">
        <v>42</v>
      </c>
      <c r="D70" t="s">
        <v>38</v>
      </c>
      <c r="E70" t="s">
        <v>28</v>
      </c>
      <c r="F70">
        <v>34402</v>
      </c>
      <c r="G70" s="1">
        <v>42925</v>
      </c>
      <c r="H70">
        <v>3</v>
      </c>
      <c r="I70" t="s">
        <v>29</v>
      </c>
      <c r="J70" t="s">
        <v>89</v>
      </c>
      <c r="L70">
        <f t="shared" si="26"/>
        <v>2017</v>
      </c>
      <c r="M70" s="2">
        <f t="shared" si="27"/>
        <v>3</v>
      </c>
      <c r="N70" t="str">
        <f t="shared" si="28"/>
        <v>Germany</v>
      </c>
      <c r="O70" t="str">
        <f t="shared" si="29"/>
        <v>Sam</v>
      </c>
      <c r="P70" s="3">
        <f t="shared" si="30"/>
        <v>42925</v>
      </c>
      <c r="Q70" t="str" cm="1">
        <f t="array" ref="Q70">INDEX($I$2:$I$100, MATCH(MAX(COUNTIFS($B$2:$B$100, B70, $I$2:$I$100, $I$2:$I$100)), COUNTIFS($B$2:$B$100, B70, $I$2:$I$100, $I$2:$I$100), 0))</f>
        <v>Other</v>
      </c>
      <c r="R70" s="2">
        <f t="shared" si="31"/>
        <v>34402</v>
      </c>
      <c r="S70" t="str">
        <f t="shared" si="32"/>
        <v>Very Low</v>
      </c>
      <c r="T70" s="4">
        <f t="shared" ca="1" si="33"/>
        <v>46045</v>
      </c>
      <c r="U70" s="1">
        <f t="shared" ca="1" si="34"/>
        <v>46045.877995717594</v>
      </c>
      <c r="V70">
        <f t="shared" si="35"/>
        <v>2017</v>
      </c>
      <c r="W70">
        <f t="shared" si="36"/>
        <v>9</v>
      </c>
      <c r="X70">
        <f t="shared" si="37"/>
        <v>7</v>
      </c>
      <c r="Y70">
        <f t="shared" si="38"/>
        <v>1</v>
      </c>
      <c r="Z70" s="7">
        <f ca="1">DAYS360(Table1[[#This Row],[DATE OF JOINING2]],Table1[[#This Row],[TODAY]])</f>
        <v>3074</v>
      </c>
    </row>
    <row r="71" spans="1:26" x14ac:dyDescent="0.2">
      <c r="A71" t="s">
        <v>174</v>
      </c>
      <c r="B71" t="s">
        <v>25</v>
      </c>
      <c r="C71" t="s">
        <v>26</v>
      </c>
      <c r="D71" t="s">
        <v>27</v>
      </c>
      <c r="E71" t="s">
        <v>61</v>
      </c>
      <c r="F71">
        <v>38678</v>
      </c>
      <c r="G71" s="1">
        <v>42932</v>
      </c>
      <c r="H71">
        <v>3</v>
      </c>
      <c r="I71" t="s">
        <v>29</v>
      </c>
      <c r="J71" t="s">
        <v>175</v>
      </c>
      <c r="L71">
        <f t="shared" si="26"/>
        <v>2017</v>
      </c>
      <c r="M71" s="2">
        <f t="shared" si="27"/>
        <v>3</v>
      </c>
      <c r="N71" t="str">
        <f t="shared" si="28"/>
        <v>USA</v>
      </c>
      <c r="O71" t="str">
        <f t="shared" si="29"/>
        <v>Eve</v>
      </c>
      <c r="P71" s="3">
        <f t="shared" si="30"/>
        <v>42932</v>
      </c>
      <c r="Q71" t="str" cm="1">
        <f t="array" ref="Q71">INDEX($I$2:$I$100, MATCH(MAX(COUNTIFS($B$2:$B$100, B71, $I$2:$I$100, $I$2:$I$100)), COUNTIFS($B$2:$B$100, B71, $I$2:$I$100, $I$2:$I$100), 0))</f>
        <v>Other</v>
      </c>
      <c r="R71" s="2">
        <f t="shared" si="31"/>
        <v>38678</v>
      </c>
      <c r="S71" t="str">
        <f t="shared" si="32"/>
        <v>Very Low</v>
      </c>
      <c r="T71" s="4">
        <f t="shared" ca="1" si="33"/>
        <v>46045</v>
      </c>
      <c r="U71" s="1">
        <f t="shared" ca="1" si="34"/>
        <v>46045.877995717594</v>
      </c>
      <c r="V71">
        <f t="shared" si="35"/>
        <v>2017</v>
      </c>
      <c r="W71">
        <f t="shared" si="36"/>
        <v>16</v>
      </c>
      <c r="X71">
        <f t="shared" si="37"/>
        <v>7</v>
      </c>
      <c r="Y71">
        <f t="shared" si="38"/>
        <v>1</v>
      </c>
      <c r="Z71" s="7">
        <f ca="1">DAYS360(Table1[[#This Row],[DATE OF JOINING2]],Table1[[#This Row],[TODAY]])</f>
        <v>3067</v>
      </c>
    </row>
    <row r="72" spans="1:26" x14ac:dyDescent="0.2">
      <c r="A72" t="s">
        <v>176</v>
      </c>
      <c r="B72" t="s">
        <v>36</v>
      </c>
      <c r="C72" t="s">
        <v>37</v>
      </c>
      <c r="D72" t="s">
        <v>27</v>
      </c>
      <c r="E72" t="s">
        <v>28</v>
      </c>
      <c r="F72">
        <v>45758</v>
      </c>
      <c r="G72" s="1">
        <v>42939</v>
      </c>
      <c r="H72">
        <v>3</v>
      </c>
      <c r="J72" t="s">
        <v>177</v>
      </c>
      <c r="L72">
        <f t="shared" si="26"/>
        <v>2017</v>
      </c>
      <c r="M72" s="2">
        <f t="shared" si="27"/>
        <v>3</v>
      </c>
      <c r="N72" t="str">
        <f t="shared" si="28"/>
        <v>Germany</v>
      </c>
      <c r="O72" t="str">
        <f t="shared" si="29"/>
        <v>Chris</v>
      </c>
      <c r="P72" s="3">
        <f t="shared" si="30"/>
        <v>42939</v>
      </c>
      <c r="Q72" t="str" cm="1">
        <f t="array" ref="Q72">INDEX($I$2:$I$100, MATCH(MAX(COUNTIFS($B$2:$B$100, B72, $I$2:$I$100, $I$2:$I$100)), COUNTIFS($B$2:$B$100, B72, $I$2:$I$100, $I$2:$I$100), 0))</f>
        <v>Other</v>
      </c>
      <c r="R72" s="2">
        <f t="shared" si="31"/>
        <v>45758</v>
      </c>
      <c r="S72" t="str">
        <f t="shared" si="32"/>
        <v>Very Low</v>
      </c>
      <c r="T72" s="4">
        <f t="shared" ca="1" si="33"/>
        <v>46045</v>
      </c>
      <c r="U72" s="1">
        <f t="shared" ca="1" si="34"/>
        <v>46045.877995717594</v>
      </c>
      <c r="V72">
        <f t="shared" si="35"/>
        <v>2017</v>
      </c>
      <c r="W72">
        <f t="shared" si="36"/>
        <v>23</v>
      </c>
      <c r="X72">
        <f t="shared" si="37"/>
        <v>7</v>
      </c>
      <c r="Y72">
        <f t="shared" si="38"/>
        <v>1</v>
      </c>
      <c r="Z72" s="7">
        <f ca="1">DAYS360(Table1[[#This Row],[DATE OF JOINING2]],Table1[[#This Row],[TODAY]])</f>
        <v>3060</v>
      </c>
    </row>
    <row r="73" spans="1:26" x14ac:dyDescent="0.2">
      <c r="A73" t="s">
        <v>178</v>
      </c>
      <c r="B73" t="s">
        <v>25</v>
      </c>
      <c r="C73" t="s">
        <v>26</v>
      </c>
      <c r="D73" t="s">
        <v>38</v>
      </c>
      <c r="E73" t="s">
        <v>43</v>
      </c>
      <c r="F73">
        <v>62476</v>
      </c>
      <c r="G73" s="1">
        <v>42946</v>
      </c>
      <c r="H73">
        <v>1</v>
      </c>
      <c r="I73" t="s">
        <v>29</v>
      </c>
      <c r="J73" t="s">
        <v>179</v>
      </c>
      <c r="L73">
        <f t="shared" si="26"/>
        <v>2017</v>
      </c>
      <c r="M73" s="2">
        <f t="shared" si="27"/>
        <v>1</v>
      </c>
      <c r="N73" t="str">
        <f t="shared" si="28"/>
        <v>India</v>
      </c>
      <c r="O73" t="str">
        <f t="shared" si="29"/>
        <v>Eve</v>
      </c>
      <c r="P73" s="3">
        <f t="shared" si="30"/>
        <v>42946</v>
      </c>
      <c r="Q73" t="str" cm="1">
        <f t="array" ref="Q73">INDEX($I$2:$I$100, MATCH(MAX(COUNTIFS($B$2:$B$100, B73, $I$2:$I$100, $I$2:$I$100)), COUNTIFS($B$2:$B$100, B73, $I$2:$I$100, $I$2:$I$100), 0))</f>
        <v>Other</v>
      </c>
      <c r="R73" s="2">
        <f t="shared" si="31"/>
        <v>62476</v>
      </c>
      <c r="S73" t="str">
        <f t="shared" si="32"/>
        <v>Medium</v>
      </c>
      <c r="T73" s="4">
        <f t="shared" ca="1" si="33"/>
        <v>46045</v>
      </c>
      <c r="U73" s="1">
        <f t="shared" ca="1" si="34"/>
        <v>46045.877995717594</v>
      </c>
      <c r="V73">
        <f t="shared" si="35"/>
        <v>2017</v>
      </c>
      <c r="W73">
        <f t="shared" si="36"/>
        <v>30</v>
      </c>
      <c r="X73">
        <f t="shared" si="37"/>
        <v>7</v>
      </c>
      <c r="Y73">
        <f t="shared" si="38"/>
        <v>1</v>
      </c>
      <c r="Z73" s="7">
        <f ca="1">DAYS360(Table1[[#This Row],[DATE OF JOINING2]],Table1[[#This Row],[TODAY]])</f>
        <v>3053</v>
      </c>
    </row>
    <row r="74" spans="1:26" x14ac:dyDescent="0.2">
      <c r="A74" t="s">
        <v>180</v>
      </c>
      <c r="B74" t="s">
        <v>53</v>
      </c>
      <c r="C74" t="s">
        <v>54</v>
      </c>
      <c r="D74" t="s">
        <v>20</v>
      </c>
      <c r="E74" t="s">
        <v>43</v>
      </c>
      <c r="F74">
        <v>60335</v>
      </c>
      <c r="G74" s="1">
        <v>42960</v>
      </c>
      <c r="H74">
        <v>4</v>
      </c>
      <c r="I74" t="s">
        <v>29</v>
      </c>
      <c r="J74" t="s">
        <v>102</v>
      </c>
      <c r="L74">
        <f t="shared" si="26"/>
        <v>2017</v>
      </c>
      <c r="M74" s="2">
        <f t="shared" si="27"/>
        <v>4</v>
      </c>
      <c r="N74" t="str">
        <f t="shared" si="28"/>
        <v>India</v>
      </c>
      <c r="O74" t="str">
        <f t="shared" si="29"/>
        <v>Jane</v>
      </c>
      <c r="P74" s="3">
        <f t="shared" si="30"/>
        <v>42960</v>
      </c>
      <c r="Q74" t="str" cm="1">
        <f t="array" ref="Q74">INDEX($I$2:$I$100, MATCH(MAX(COUNTIFS($B$2:$B$100, B74, $I$2:$I$100, $I$2:$I$100)), COUNTIFS($B$2:$B$100, B74, $I$2:$I$100, $I$2:$I$100), 0))</f>
        <v>Other</v>
      </c>
      <c r="R74" s="2">
        <f t="shared" si="31"/>
        <v>60335</v>
      </c>
      <c r="S74" t="str">
        <f t="shared" si="32"/>
        <v>Medium</v>
      </c>
      <c r="T74" s="4">
        <f t="shared" ca="1" si="33"/>
        <v>46045</v>
      </c>
      <c r="U74" s="1">
        <f t="shared" ca="1" si="34"/>
        <v>46045.877995717594</v>
      </c>
      <c r="V74">
        <f t="shared" si="35"/>
        <v>2017</v>
      </c>
      <c r="W74">
        <f t="shared" si="36"/>
        <v>13</v>
      </c>
      <c r="X74">
        <f t="shared" si="37"/>
        <v>8</v>
      </c>
      <c r="Y74">
        <f t="shared" si="38"/>
        <v>1</v>
      </c>
      <c r="Z74" s="7">
        <f ca="1">DAYS360(Table1[[#This Row],[DATE OF JOINING2]],Table1[[#This Row],[TODAY]])</f>
        <v>3040</v>
      </c>
    </row>
    <row r="75" spans="1:26" x14ac:dyDescent="0.2">
      <c r="A75" t="s">
        <v>181</v>
      </c>
      <c r="B75" t="s">
        <v>36</v>
      </c>
      <c r="C75" t="s">
        <v>37</v>
      </c>
      <c r="D75" t="s">
        <v>27</v>
      </c>
      <c r="E75" t="s">
        <v>28</v>
      </c>
      <c r="F75">
        <v>84968</v>
      </c>
      <c r="G75" s="1">
        <v>42967</v>
      </c>
      <c r="J75" t="s">
        <v>182</v>
      </c>
      <c r="L75">
        <f t="shared" si="26"/>
        <v>2017</v>
      </c>
      <c r="M75" s="2">
        <f t="shared" si="27"/>
        <v>2.732394366197183</v>
      </c>
      <c r="N75" t="str">
        <f t="shared" si="28"/>
        <v>Germany</v>
      </c>
      <c r="O75" t="str">
        <f t="shared" si="29"/>
        <v>Chris</v>
      </c>
      <c r="P75" s="3">
        <f t="shared" si="30"/>
        <v>42967</v>
      </c>
      <c r="Q75" t="str" cm="1">
        <f t="array" ref="Q75">INDEX($I$2:$I$100, MATCH(MAX(COUNTIFS($B$2:$B$100, B75, $I$2:$I$100, $I$2:$I$100)), COUNTIFS($B$2:$B$100, B75, $I$2:$I$100, $I$2:$I$100), 0))</f>
        <v>Other</v>
      </c>
      <c r="R75" s="2">
        <f t="shared" si="31"/>
        <v>84968</v>
      </c>
      <c r="S75" t="str">
        <f t="shared" si="32"/>
        <v>Medium</v>
      </c>
      <c r="T75" s="4">
        <f t="shared" ca="1" si="33"/>
        <v>46045</v>
      </c>
      <c r="U75" s="1">
        <f t="shared" ca="1" si="34"/>
        <v>46045.877995717594</v>
      </c>
      <c r="V75">
        <f t="shared" si="35"/>
        <v>2017</v>
      </c>
      <c r="W75">
        <f t="shared" si="36"/>
        <v>20</v>
      </c>
      <c r="X75">
        <f t="shared" si="37"/>
        <v>8</v>
      </c>
      <c r="Y75">
        <f t="shared" si="38"/>
        <v>1</v>
      </c>
      <c r="Z75" s="7">
        <f ca="1">DAYS360(Table1[[#This Row],[DATE OF JOINING2]],Table1[[#This Row],[TODAY]])</f>
        <v>3033</v>
      </c>
    </row>
    <row r="76" spans="1:26" x14ac:dyDescent="0.2">
      <c r="A76" t="s">
        <v>183</v>
      </c>
      <c r="B76" t="s">
        <v>49</v>
      </c>
      <c r="C76" t="s">
        <v>50</v>
      </c>
      <c r="D76" t="s">
        <v>46</v>
      </c>
      <c r="F76">
        <v>73348</v>
      </c>
      <c r="G76" s="1">
        <v>42981</v>
      </c>
      <c r="H76">
        <v>2</v>
      </c>
      <c r="J76" t="s">
        <v>184</v>
      </c>
      <c r="L76">
        <f t="shared" si="26"/>
        <v>2017</v>
      </c>
      <c r="M76" s="2">
        <f t="shared" si="27"/>
        <v>2</v>
      </c>
      <c r="N76" t="str">
        <f t="shared" si="28"/>
        <v>UNKNOWN</v>
      </c>
      <c r="O76" t="str">
        <f t="shared" si="29"/>
        <v>Bob</v>
      </c>
      <c r="P76" s="3">
        <f t="shared" si="30"/>
        <v>42981</v>
      </c>
      <c r="Q76" t="str" cm="1">
        <f t="array" ref="Q76">INDEX($I$2:$I$100, MATCH(MAX(COUNTIFS($B$2:$B$100, B76, $I$2:$I$100, $I$2:$I$100)), COUNTIFS($B$2:$B$100, B76, $I$2:$I$100, $I$2:$I$100), 0))</f>
        <v>Other</v>
      </c>
      <c r="R76" s="2">
        <f t="shared" si="31"/>
        <v>73348</v>
      </c>
      <c r="S76" t="str">
        <f t="shared" si="32"/>
        <v>Medium</v>
      </c>
      <c r="T76" s="4">
        <f t="shared" ca="1" si="33"/>
        <v>46045</v>
      </c>
      <c r="U76" s="1">
        <f t="shared" ca="1" si="34"/>
        <v>46045.877995717594</v>
      </c>
      <c r="V76">
        <f t="shared" si="35"/>
        <v>2017</v>
      </c>
      <c r="W76">
        <f t="shared" si="36"/>
        <v>3</v>
      </c>
      <c r="X76">
        <f t="shared" si="37"/>
        <v>9</v>
      </c>
      <c r="Y76">
        <f t="shared" si="38"/>
        <v>1</v>
      </c>
      <c r="Z76" s="7">
        <f ca="1">DAYS360(Table1[[#This Row],[DATE OF JOINING2]],Table1[[#This Row],[TODAY]])</f>
        <v>3020</v>
      </c>
    </row>
    <row r="77" spans="1:26" x14ac:dyDescent="0.2">
      <c r="A77" t="s">
        <v>185</v>
      </c>
      <c r="B77" t="s">
        <v>36</v>
      </c>
      <c r="C77" t="s">
        <v>37</v>
      </c>
      <c r="D77" t="s">
        <v>82</v>
      </c>
      <c r="E77" t="s">
        <v>61</v>
      </c>
      <c r="F77" t="s">
        <v>21</v>
      </c>
      <c r="G77" s="1">
        <v>42988</v>
      </c>
      <c r="H77">
        <v>4</v>
      </c>
      <c r="I77" t="s">
        <v>29</v>
      </c>
      <c r="J77" t="s">
        <v>23</v>
      </c>
      <c r="L77">
        <f t="shared" si="26"/>
        <v>2017</v>
      </c>
      <c r="M77" s="2">
        <f t="shared" si="27"/>
        <v>4</v>
      </c>
      <c r="N77" t="str">
        <f t="shared" si="28"/>
        <v>USA</v>
      </c>
      <c r="O77" t="str">
        <f t="shared" si="29"/>
        <v>Chris</v>
      </c>
      <c r="P77" s="3">
        <f t="shared" si="30"/>
        <v>42988</v>
      </c>
      <c r="Q77" t="str" cm="1">
        <f t="array" ref="Q77">INDEX($I$2:$I$100, MATCH(MAX(COUNTIFS($B$2:$B$100, B77, $I$2:$I$100, $I$2:$I$100)), COUNTIFS($B$2:$B$100, B77, $I$2:$I$100, $I$2:$I$100), 0))</f>
        <v>Other</v>
      </c>
      <c r="R77" s="2">
        <f t="shared" si="31"/>
        <v>66562.506493506487</v>
      </c>
      <c r="S77" t="str">
        <f t="shared" si="32"/>
        <v>Medium</v>
      </c>
      <c r="T77" s="4">
        <f t="shared" ca="1" si="33"/>
        <v>46045</v>
      </c>
      <c r="U77" s="1">
        <f t="shared" ca="1" si="34"/>
        <v>46045.877995717594</v>
      </c>
      <c r="V77">
        <f t="shared" si="35"/>
        <v>2017</v>
      </c>
      <c r="W77">
        <f t="shared" si="36"/>
        <v>10</v>
      </c>
      <c r="X77">
        <f t="shared" si="37"/>
        <v>9</v>
      </c>
      <c r="Y77">
        <f t="shared" si="38"/>
        <v>1</v>
      </c>
      <c r="Z77" s="7">
        <f ca="1">DAYS360(Table1[[#This Row],[DATE OF JOINING2]],Table1[[#This Row],[TODAY]])</f>
        <v>3013</v>
      </c>
    </row>
    <row r="78" spans="1:26" x14ac:dyDescent="0.2">
      <c r="A78" t="s">
        <v>186</v>
      </c>
      <c r="B78" t="s">
        <v>53</v>
      </c>
      <c r="C78" t="s">
        <v>54</v>
      </c>
      <c r="D78" t="s">
        <v>38</v>
      </c>
      <c r="E78" t="s">
        <v>61</v>
      </c>
      <c r="F78">
        <v>66882</v>
      </c>
      <c r="G78" s="1">
        <v>42995</v>
      </c>
      <c r="H78">
        <v>5</v>
      </c>
      <c r="I78" t="s">
        <v>29</v>
      </c>
      <c r="J78" t="s">
        <v>72</v>
      </c>
      <c r="L78">
        <f t="shared" si="26"/>
        <v>2017</v>
      </c>
      <c r="M78" s="2">
        <f t="shared" si="27"/>
        <v>5</v>
      </c>
      <c r="N78" t="str">
        <f t="shared" si="28"/>
        <v>USA</v>
      </c>
      <c r="O78" t="str">
        <f t="shared" si="29"/>
        <v>Jane</v>
      </c>
      <c r="P78" s="3">
        <f t="shared" si="30"/>
        <v>42995</v>
      </c>
      <c r="Q78" t="str" cm="1">
        <f t="array" ref="Q78">INDEX($I$2:$I$100, MATCH(MAX(COUNTIFS($B$2:$B$100, B78, $I$2:$I$100, $I$2:$I$100)), COUNTIFS($B$2:$B$100, B78, $I$2:$I$100, $I$2:$I$100), 0))</f>
        <v>Other</v>
      </c>
      <c r="R78" s="2">
        <f t="shared" si="31"/>
        <v>66882</v>
      </c>
      <c r="S78" t="str">
        <f t="shared" si="32"/>
        <v>Medium</v>
      </c>
      <c r="T78" s="4">
        <f t="shared" ca="1" si="33"/>
        <v>46045</v>
      </c>
      <c r="U78" s="1">
        <f t="shared" ca="1" si="34"/>
        <v>46045.877995717594</v>
      </c>
      <c r="V78">
        <f t="shared" si="35"/>
        <v>2017</v>
      </c>
      <c r="W78">
        <f t="shared" si="36"/>
        <v>17</v>
      </c>
      <c r="X78">
        <f t="shared" si="37"/>
        <v>9</v>
      </c>
      <c r="Y78">
        <f t="shared" si="38"/>
        <v>1</v>
      </c>
      <c r="Z78" s="7">
        <f ca="1">DAYS360(Table1[[#This Row],[DATE OF JOINING2]],Table1[[#This Row],[TODAY]])</f>
        <v>3006</v>
      </c>
    </row>
    <row r="79" spans="1:26" x14ac:dyDescent="0.2">
      <c r="A79" t="s">
        <v>187</v>
      </c>
      <c r="B79" t="s">
        <v>32</v>
      </c>
      <c r="C79" t="s">
        <v>33</v>
      </c>
      <c r="D79" t="s">
        <v>38</v>
      </c>
      <c r="F79">
        <v>86775</v>
      </c>
      <c r="G79" s="1">
        <v>43002</v>
      </c>
      <c r="H79">
        <v>3</v>
      </c>
      <c r="I79" t="s">
        <v>29</v>
      </c>
      <c r="J79" t="s">
        <v>78</v>
      </c>
      <c r="L79">
        <f t="shared" si="26"/>
        <v>2017</v>
      </c>
      <c r="M79" s="2">
        <f t="shared" si="27"/>
        <v>3</v>
      </c>
      <c r="N79" t="str">
        <f t="shared" si="28"/>
        <v>UNKNOWN</v>
      </c>
      <c r="O79" t="str">
        <f t="shared" si="29"/>
        <v>Alice</v>
      </c>
      <c r="P79" s="3">
        <f t="shared" si="30"/>
        <v>43002</v>
      </c>
      <c r="Q79" t="str" cm="1">
        <f t="array" ref="Q79">INDEX($I$2:$I$100, MATCH(MAX(COUNTIFS($B$2:$B$100, B79, $I$2:$I$100, $I$2:$I$100)), COUNTIFS($B$2:$B$100, B79, $I$2:$I$100, $I$2:$I$100), 0))</f>
        <v>Other</v>
      </c>
      <c r="R79" s="2">
        <f t="shared" si="31"/>
        <v>86775</v>
      </c>
      <c r="S79" t="str">
        <f t="shared" si="32"/>
        <v>Medium</v>
      </c>
      <c r="T79" s="4">
        <f t="shared" ca="1" si="33"/>
        <v>46045</v>
      </c>
      <c r="U79" s="1">
        <f t="shared" ca="1" si="34"/>
        <v>46045.877995717594</v>
      </c>
      <c r="V79">
        <f t="shared" si="35"/>
        <v>2017</v>
      </c>
      <c r="W79">
        <f t="shared" si="36"/>
        <v>24</v>
      </c>
      <c r="X79">
        <f t="shared" si="37"/>
        <v>9</v>
      </c>
      <c r="Y79">
        <f t="shared" si="38"/>
        <v>1</v>
      </c>
      <c r="Z79" s="7">
        <f ca="1">DAYS360(Table1[[#This Row],[DATE OF JOINING2]],Table1[[#This Row],[TODAY]])</f>
        <v>2999</v>
      </c>
    </row>
    <row r="80" spans="1:26" x14ac:dyDescent="0.2">
      <c r="A80" t="s">
        <v>188</v>
      </c>
      <c r="B80" t="s">
        <v>36</v>
      </c>
      <c r="C80" t="s">
        <v>37</v>
      </c>
      <c r="D80" t="s">
        <v>82</v>
      </c>
      <c r="E80" t="s">
        <v>58</v>
      </c>
      <c r="F80">
        <v>91620</v>
      </c>
      <c r="G80" s="1">
        <v>43009</v>
      </c>
      <c r="J80" t="s">
        <v>189</v>
      </c>
      <c r="L80">
        <f t="shared" si="26"/>
        <v>2017</v>
      </c>
      <c r="M80" s="2">
        <f t="shared" si="27"/>
        <v>2.732394366197183</v>
      </c>
      <c r="N80" t="str">
        <f t="shared" si="28"/>
        <v>UK</v>
      </c>
      <c r="O80" t="str">
        <f t="shared" si="29"/>
        <v>Chris</v>
      </c>
      <c r="P80" s="3">
        <f t="shared" si="30"/>
        <v>43009</v>
      </c>
      <c r="Q80" t="str" cm="1">
        <f t="array" ref="Q80">INDEX($I$2:$I$100, MATCH(MAX(COUNTIFS($B$2:$B$100, B80, $I$2:$I$100, $I$2:$I$100)), COUNTIFS($B$2:$B$100, B80, $I$2:$I$100, $I$2:$I$100), 0))</f>
        <v>Other</v>
      </c>
      <c r="R80" s="2">
        <f t="shared" si="31"/>
        <v>91620</v>
      </c>
      <c r="S80" t="str">
        <f t="shared" si="32"/>
        <v>High</v>
      </c>
      <c r="T80" s="4">
        <f t="shared" ca="1" si="33"/>
        <v>46045</v>
      </c>
      <c r="U80" s="1">
        <f t="shared" ca="1" si="34"/>
        <v>46045.877995717594</v>
      </c>
      <c r="V80">
        <f t="shared" si="35"/>
        <v>2017</v>
      </c>
      <c r="W80">
        <f t="shared" si="36"/>
        <v>1</v>
      </c>
      <c r="X80">
        <f t="shared" si="37"/>
        <v>10</v>
      </c>
      <c r="Y80">
        <f t="shared" si="38"/>
        <v>1</v>
      </c>
      <c r="Z80" s="7">
        <f ca="1">DAYS360(Table1[[#This Row],[DATE OF JOINING2]],Table1[[#This Row],[TODAY]])</f>
        <v>2992</v>
      </c>
    </row>
    <row r="81" spans="1:26" x14ac:dyDescent="0.2">
      <c r="A81" t="s">
        <v>190</v>
      </c>
      <c r="B81" t="s">
        <v>25</v>
      </c>
      <c r="C81" t="s">
        <v>26</v>
      </c>
      <c r="D81" t="s">
        <v>38</v>
      </c>
      <c r="F81">
        <v>94148</v>
      </c>
      <c r="G81" s="1">
        <v>43016</v>
      </c>
      <c r="H81">
        <v>2</v>
      </c>
      <c r="J81" t="s">
        <v>191</v>
      </c>
      <c r="L81">
        <f t="shared" si="26"/>
        <v>2017</v>
      </c>
      <c r="M81" s="2">
        <f t="shared" si="27"/>
        <v>2</v>
      </c>
      <c r="N81" t="str">
        <f t="shared" si="28"/>
        <v>UNKNOWN</v>
      </c>
      <c r="O81" t="str">
        <f t="shared" si="29"/>
        <v>Eve</v>
      </c>
      <c r="P81" s="3">
        <f t="shared" si="30"/>
        <v>43016</v>
      </c>
      <c r="Q81" t="str" cm="1">
        <f t="array" ref="Q81">INDEX($I$2:$I$100, MATCH(MAX(COUNTIFS($B$2:$B$100, B81, $I$2:$I$100, $I$2:$I$100)), COUNTIFS($B$2:$B$100, B81, $I$2:$I$100, $I$2:$I$100), 0))</f>
        <v>Other</v>
      </c>
      <c r="R81" s="2">
        <f t="shared" si="31"/>
        <v>94148</v>
      </c>
      <c r="S81" t="str">
        <f t="shared" si="32"/>
        <v>High</v>
      </c>
      <c r="T81" s="4">
        <f t="shared" ca="1" si="33"/>
        <v>46045</v>
      </c>
      <c r="U81" s="1">
        <f t="shared" ca="1" si="34"/>
        <v>46045.877995717594</v>
      </c>
      <c r="V81">
        <f t="shared" si="35"/>
        <v>2017</v>
      </c>
      <c r="W81">
        <f t="shared" si="36"/>
        <v>8</v>
      </c>
      <c r="X81">
        <f t="shared" si="37"/>
        <v>10</v>
      </c>
      <c r="Y81">
        <f t="shared" si="38"/>
        <v>1</v>
      </c>
      <c r="Z81" s="7">
        <f ca="1">DAYS360(Table1[[#This Row],[DATE OF JOINING2]],Table1[[#This Row],[TODAY]])</f>
        <v>2985</v>
      </c>
    </row>
    <row r="82" spans="1:26" x14ac:dyDescent="0.2">
      <c r="A82" t="s">
        <v>192</v>
      </c>
      <c r="B82" t="s">
        <v>80</v>
      </c>
      <c r="C82" t="s">
        <v>81</v>
      </c>
      <c r="D82" t="s">
        <v>38</v>
      </c>
      <c r="E82" t="s">
        <v>61</v>
      </c>
      <c r="F82">
        <v>57141</v>
      </c>
      <c r="G82" s="1">
        <v>43030</v>
      </c>
      <c r="H82">
        <v>2</v>
      </c>
      <c r="J82" t="s">
        <v>182</v>
      </c>
      <c r="L82">
        <f t="shared" si="26"/>
        <v>2017</v>
      </c>
      <c r="M82" s="2">
        <f t="shared" si="27"/>
        <v>2</v>
      </c>
      <c r="N82" t="str">
        <f t="shared" si="28"/>
        <v>USA</v>
      </c>
      <c r="O82" t="str">
        <f t="shared" si="29"/>
        <v>John</v>
      </c>
      <c r="P82" s="3">
        <f t="shared" si="30"/>
        <v>43030</v>
      </c>
      <c r="Q82" t="str" cm="1">
        <f t="array" ref="Q82">INDEX($I$2:$I$100, MATCH(MAX(COUNTIFS($B$2:$B$100, B82, $I$2:$I$100, $I$2:$I$100)), COUNTIFS($B$2:$B$100, B82, $I$2:$I$100, $I$2:$I$100), 0))</f>
        <v>Other</v>
      </c>
      <c r="R82" s="2">
        <f t="shared" si="31"/>
        <v>57141</v>
      </c>
      <c r="S82" t="str">
        <f t="shared" si="32"/>
        <v>Low</v>
      </c>
      <c r="T82" s="4">
        <f t="shared" ca="1" si="33"/>
        <v>46045</v>
      </c>
      <c r="U82" s="1">
        <f t="shared" ca="1" si="34"/>
        <v>46045.877995717594</v>
      </c>
      <c r="V82">
        <f t="shared" si="35"/>
        <v>2017</v>
      </c>
      <c r="W82">
        <f t="shared" si="36"/>
        <v>22</v>
      </c>
      <c r="X82">
        <f t="shared" si="37"/>
        <v>10</v>
      </c>
      <c r="Y82">
        <f t="shared" si="38"/>
        <v>1</v>
      </c>
      <c r="Z82" s="7">
        <f ca="1">DAYS360(Table1[[#This Row],[DATE OF JOINING2]],Table1[[#This Row],[TODAY]])</f>
        <v>2971</v>
      </c>
    </row>
    <row r="83" spans="1:26" x14ac:dyDescent="0.2">
      <c r="A83" t="s">
        <v>193</v>
      </c>
      <c r="B83" t="s">
        <v>49</v>
      </c>
      <c r="C83" t="s">
        <v>50</v>
      </c>
      <c r="D83" t="s">
        <v>82</v>
      </c>
      <c r="E83" t="s">
        <v>55</v>
      </c>
      <c r="F83">
        <v>65270</v>
      </c>
      <c r="G83" s="1">
        <v>43037</v>
      </c>
      <c r="H83">
        <v>1</v>
      </c>
      <c r="J83" t="s">
        <v>194</v>
      </c>
      <c r="L83">
        <f t="shared" si="26"/>
        <v>2017</v>
      </c>
      <c r="M83" s="2">
        <f t="shared" si="27"/>
        <v>1</v>
      </c>
      <c r="N83" t="str">
        <f t="shared" si="28"/>
        <v>Australia</v>
      </c>
      <c r="O83" t="str">
        <f t="shared" si="29"/>
        <v>Bob</v>
      </c>
      <c r="P83" s="3">
        <f t="shared" si="30"/>
        <v>43037</v>
      </c>
      <c r="Q83" t="str" cm="1">
        <f t="array" ref="Q83">INDEX($I$2:$I$100, MATCH(MAX(COUNTIFS($B$2:$B$100, B83, $I$2:$I$100, $I$2:$I$100)), COUNTIFS($B$2:$B$100, B83, $I$2:$I$100, $I$2:$I$100), 0))</f>
        <v>Other</v>
      </c>
      <c r="R83" s="2">
        <f t="shared" si="31"/>
        <v>65270</v>
      </c>
      <c r="S83" t="str">
        <f t="shared" si="32"/>
        <v>Medium</v>
      </c>
      <c r="T83" s="4">
        <f t="shared" ca="1" si="33"/>
        <v>46045</v>
      </c>
      <c r="U83" s="1">
        <f t="shared" ca="1" si="34"/>
        <v>46045.877995717594</v>
      </c>
      <c r="V83">
        <f t="shared" si="35"/>
        <v>2017</v>
      </c>
      <c r="W83">
        <f t="shared" si="36"/>
        <v>29</v>
      </c>
      <c r="X83">
        <f t="shared" si="37"/>
        <v>10</v>
      </c>
      <c r="Y83">
        <f t="shared" si="38"/>
        <v>1</v>
      </c>
      <c r="Z83" s="7">
        <f ca="1">DAYS360(Table1[[#This Row],[DATE OF JOINING2]],Table1[[#This Row],[TODAY]])</f>
        <v>2964</v>
      </c>
    </row>
    <row r="84" spans="1:26" x14ac:dyDescent="0.2">
      <c r="A84" t="s">
        <v>195</v>
      </c>
      <c r="B84" t="s">
        <v>49</v>
      </c>
      <c r="C84" t="s">
        <v>50</v>
      </c>
      <c r="D84" t="s">
        <v>38</v>
      </c>
      <c r="E84" t="s">
        <v>58</v>
      </c>
      <c r="F84">
        <v>67335</v>
      </c>
      <c r="G84" s="1">
        <v>43044</v>
      </c>
      <c r="H84">
        <v>1</v>
      </c>
      <c r="I84" t="s">
        <v>29</v>
      </c>
      <c r="J84" t="s">
        <v>110</v>
      </c>
      <c r="L84">
        <f t="shared" si="26"/>
        <v>2017</v>
      </c>
      <c r="M84" s="2">
        <f t="shared" si="27"/>
        <v>1</v>
      </c>
      <c r="N84" t="str">
        <f t="shared" si="28"/>
        <v>UK</v>
      </c>
      <c r="O84" t="str">
        <f t="shared" si="29"/>
        <v>Bob</v>
      </c>
      <c r="P84" s="3">
        <f t="shared" si="30"/>
        <v>43044</v>
      </c>
      <c r="Q84" t="str" cm="1">
        <f t="array" ref="Q84">INDEX($I$2:$I$100, MATCH(MAX(COUNTIFS($B$2:$B$100, B84, $I$2:$I$100, $I$2:$I$100)), COUNTIFS($B$2:$B$100, B84, $I$2:$I$100, $I$2:$I$100), 0))</f>
        <v>Other</v>
      </c>
      <c r="R84" s="2">
        <f t="shared" si="31"/>
        <v>67335</v>
      </c>
      <c r="S84" t="str">
        <f t="shared" si="32"/>
        <v>Medium</v>
      </c>
      <c r="T84" s="4">
        <f t="shared" ca="1" si="33"/>
        <v>46045</v>
      </c>
      <c r="U84" s="1">
        <f t="shared" ca="1" si="34"/>
        <v>46045.877995717594</v>
      </c>
      <c r="V84">
        <f t="shared" si="35"/>
        <v>2017</v>
      </c>
      <c r="W84">
        <f t="shared" si="36"/>
        <v>5</v>
      </c>
      <c r="X84">
        <f t="shared" si="37"/>
        <v>11</v>
      </c>
      <c r="Y84">
        <f t="shared" si="38"/>
        <v>1</v>
      </c>
      <c r="Z84" s="7">
        <f ca="1">DAYS360(Table1[[#This Row],[DATE OF JOINING2]],Table1[[#This Row],[TODAY]])</f>
        <v>2958</v>
      </c>
    </row>
    <row r="85" spans="1:26" x14ac:dyDescent="0.2">
      <c r="A85" t="s">
        <v>196</v>
      </c>
      <c r="B85" t="s">
        <v>41</v>
      </c>
      <c r="C85" t="s">
        <v>42</v>
      </c>
      <c r="D85" t="s">
        <v>38</v>
      </c>
      <c r="E85" t="s">
        <v>43</v>
      </c>
      <c r="F85">
        <v>98475</v>
      </c>
      <c r="G85" s="1">
        <v>43051</v>
      </c>
      <c r="H85">
        <v>5</v>
      </c>
      <c r="I85" t="s">
        <v>29</v>
      </c>
      <c r="J85" t="s">
        <v>197</v>
      </c>
      <c r="L85">
        <f t="shared" si="26"/>
        <v>2017</v>
      </c>
      <c r="M85" s="2">
        <f t="shared" si="27"/>
        <v>5</v>
      </c>
      <c r="N85" t="str">
        <f t="shared" si="28"/>
        <v>India</v>
      </c>
      <c r="O85" t="str">
        <f t="shared" si="29"/>
        <v>Sam</v>
      </c>
      <c r="P85" s="3">
        <f t="shared" si="30"/>
        <v>43051</v>
      </c>
      <c r="Q85" t="s">
        <v>204</v>
      </c>
      <c r="R85" s="2">
        <f t="shared" si="31"/>
        <v>98475</v>
      </c>
      <c r="S85" t="str">
        <f t="shared" si="32"/>
        <v>High</v>
      </c>
      <c r="T85" s="4">
        <f t="shared" ca="1" si="33"/>
        <v>46045</v>
      </c>
      <c r="U85" s="1">
        <f t="shared" ca="1" si="34"/>
        <v>46045.877995717594</v>
      </c>
      <c r="V85">
        <f t="shared" si="35"/>
        <v>2017</v>
      </c>
      <c r="W85">
        <f t="shared" si="36"/>
        <v>12</v>
      </c>
      <c r="X85">
        <f t="shared" si="37"/>
        <v>11</v>
      </c>
      <c r="Y85">
        <f t="shared" si="38"/>
        <v>1</v>
      </c>
      <c r="Z85" s="7">
        <f ca="1">DAYS360(Table1[[#This Row],[DATE OF JOINING2]],Table1[[#This Row],[TODAY]])</f>
        <v>2951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2026-01-23T12:08:08Z</dcterms:created>
  <dcterms:modified xsi:type="dcterms:W3CDTF">2026-01-23T15:34:37Z</dcterms:modified>
</cp:coreProperties>
</file>
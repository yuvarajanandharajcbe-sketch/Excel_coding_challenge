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8519E2A1-9896-4563-87CE-B0ED1448DA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7" i="1"/>
  <c r="L5" i="1"/>
  <c r="L10" i="1"/>
  <c r="L16" i="1"/>
</calcChain>
</file>

<file path=xl/sharedStrings.xml><?xml version="1.0" encoding="utf-8"?>
<sst xmlns="http://schemas.openxmlformats.org/spreadsheetml/2006/main" count="803" uniqueCount="285">
  <si>
    <t>EMP ID</t>
  </si>
  <si>
    <t>EMP NAME</t>
  </si>
  <si>
    <t>DESIGNATION</t>
  </si>
  <si>
    <t>COUNTRY</t>
  </si>
  <si>
    <t>SALARY</t>
  </si>
  <si>
    <t>DATE OF JOINING</t>
  </si>
  <si>
    <t>PERFORMANCE RATING</t>
  </si>
  <si>
    <t>GENDER</t>
  </si>
  <si>
    <t xml:space="preserve">EMP EMAIL ID </t>
  </si>
  <si>
    <t>EMP1002</t>
  </si>
  <si>
    <t>Alice Brown</t>
  </si>
  <si>
    <t>Finance</t>
  </si>
  <si>
    <t>Germany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</si>
  <si>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</si>
  <si>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</si>
  <si>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</si>
  <si>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</si>
  <si>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</si>
  <si>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</si>
  <si>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</si>
  <si>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FORMULA</t>
  </si>
  <si>
    <t>VALUES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</si>
  <si>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</si>
  <si>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</si>
  <si>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</si>
  <si>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</si>
  <si>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</si>
  <si>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</si>
  <si>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</si>
  <si>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</si>
  <si>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SUMIF</t>
  </si>
  <si>
    <t>EMP1006</t>
  </si>
  <si>
    <t>Sam Wilson</t>
  </si>
  <si>
    <t>EMP1007</t>
  </si>
  <si>
    <t>Chris Lee</t>
  </si>
  <si>
    <t>Marketing</t>
  </si>
  <si>
    <t>Other</t>
  </si>
  <si>
    <t>user26@example.com</t>
  </si>
  <si>
    <t>EMP1008</t>
  </si>
  <si>
    <t>user25@example.com</t>
  </si>
  <si>
    <t>EMP1009</t>
  </si>
  <si>
    <t>HR</t>
  </si>
  <si>
    <t>UK</t>
  </si>
  <si>
    <t>user153@example.com</t>
  </si>
  <si>
    <t>EMP1010</t>
  </si>
  <si>
    <t>user18@example.com</t>
  </si>
  <si>
    <t>COUNTIF</t>
  </si>
  <si>
    <t>EMP1011</t>
  </si>
  <si>
    <t>user1@example.com</t>
  </si>
  <si>
    <t>EMP1012</t>
  </si>
  <si>
    <t>Bob Johnson</t>
  </si>
  <si>
    <t>user106@example.com</t>
  </si>
  <si>
    <t>EMP1013</t>
  </si>
  <si>
    <t>user180@example.com</t>
  </si>
  <si>
    <t>AVERAGE IF</t>
  </si>
  <si>
    <t>EMP1014</t>
  </si>
  <si>
    <t>user184@example.com</t>
  </si>
  <si>
    <t>EMP1015</t>
  </si>
  <si>
    <t>user3@example.com</t>
  </si>
  <si>
    <t>EMP1016</t>
  </si>
  <si>
    <t>user64@example.com</t>
  </si>
  <si>
    <t>IF</t>
  </si>
  <si>
    <t>EMP1017</t>
  </si>
  <si>
    <t>Australia</t>
  </si>
  <si>
    <t>user38@example.com</t>
  </si>
  <si>
    <t>EMP1018</t>
  </si>
  <si>
    <t>user96@example.com</t>
  </si>
  <si>
    <t>EMP1019</t>
  </si>
  <si>
    <t>Eve Adams</t>
  </si>
  <si>
    <t>user151@example.com</t>
  </si>
  <si>
    <t>EMP1020</t>
  </si>
  <si>
    <t>N/A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</si>
  <si>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</si>
  <si>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</si>
  <si>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</si>
  <si>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</si>
  <si>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</si>
  <si>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</si>
  <si>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</si>
  <si>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</si>
  <si>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</si>
  <si>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</si>
  <si>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</si>
  <si>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</si>
  <si>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</si>
  <si>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</si>
  <si>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</si>
  <si>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</si>
  <si>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</si>
  <si>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</si>
  <si>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</si>
  <si>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</si>
  <si>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Unknown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</si>
  <si>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</si>
  <si>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</si>
  <si>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</si>
  <si>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</si>
  <si>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</si>
  <si>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</si>
  <si>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</si>
  <si>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</si>
  <si>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</si>
  <si>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</si>
  <si>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</si>
  <si>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</si>
  <si>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</si>
  <si>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</si>
  <si>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</si>
  <si>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</si>
  <si>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</si>
  <si>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</si>
  <si>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</si>
  <si>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</si>
  <si>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</si>
  <si>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</si>
  <si>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</si>
  <si>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</si>
  <si>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</si>
  <si>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</si>
  <si>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</si>
  <si>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</si>
  <si>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</si>
  <si>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</si>
  <si>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</si>
  <si>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</si>
  <si>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</si>
  <si>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</si>
  <si>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</si>
  <si>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</si>
  <si>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</si>
  <si>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</si>
  <si>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</si>
  <si>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</si>
  <si>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</si>
  <si>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</si>
  <si>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</si>
  <si>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</si>
  <si>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</si>
  <si>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</si>
  <si>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</si>
  <si>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</si>
  <si>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</si>
  <si>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</si>
  <si>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</si>
  <si>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</si>
  <si>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</si>
  <si>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</si>
  <si>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</si>
  <si>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</si>
  <si>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</si>
  <si>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</si>
  <si>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</si>
  <si>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</si>
  <si>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</si>
  <si>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</si>
  <si>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</si>
  <si>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</si>
  <si>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</si>
  <si>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</si>
  <si>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</si>
  <si>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</si>
  <si>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</si>
  <si>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</si>
  <si>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</si>
  <si>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</si>
  <si>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</si>
  <si>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</si>
  <si>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</si>
  <si>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</si>
  <si>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</si>
  <si>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</si>
  <si>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</si>
  <si>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</si>
  <si>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</si>
  <si>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</si>
  <si>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</si>
  <si>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</si>
  <si>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</si>
  <si>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</si>
  <si>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</si>
  <si>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</si>
  <si>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</si>
  <si>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</si>
  <si>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</si>
  <si>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</si>
  <si>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</si>
  <si>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</si>
  <si>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</si>
  <si>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</si>
  <si>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</si>
  <si>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</si>
  <si>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</si>
  <si>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</si>
  <si>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</si>
  <si>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</si>
  <si>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</si>
  <si>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</si>
  <si>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</si>
  <si>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</si>
  <si>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</si>
  <si>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</si>
  <si>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</si>
  <si>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</si>
  <si>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</si>
  <si>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</si>
  <si>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</si>
  <si>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</si>
  <si>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</si>
  <si>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</si>
  <si>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</si>
  <si>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</si>
  <si>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</si>
  <si>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</si>
  <si>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</si>
  <si>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</si>
  <si>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</si>
  <si>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</si>
  <si>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</si>
  <si>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</si>
  <si>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</si>
  <si>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</si>
  <si>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</si>
  <si>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</si>
  <si>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</si>
  <si>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</si>
  <si>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</si>
  <si>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</si>
  <si>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</si>
  <si>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</si>
  <si>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</si>
  <si>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</si>
  <si>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</si>
  <si>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</si>
  <si>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</si>
  <si>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</si>
  <si>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</si>
  <si>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</si>
  <si>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</si>
  <si>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</si>
  <si>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</si>
  <si>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</si>
  <si>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</si>
  <si>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</si>
  <si>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</si>
  <si>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</si>
  <si>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</si>
  <si>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</si>
  <si>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</si>
  <si>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</si>
  <si>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</si>
  <si>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</si>
  <si>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</si>
  <si>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</si>
  <si>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</si>
  <si>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</si>
  <si>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</si>
  <si>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</si>
  <si>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</si>
  <si>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</si>
  <si>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</si>
  <si>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</si>
  <si>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</si>
  <si>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</si>
  <si>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</si>
  <si>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</si>
  <si>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</si>
  <si>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</si>
  <si>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</si>
  <si>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</si>
  <si>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</si>
  <si>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</si>
  <si>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 xml:space="preserve">      N/A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</si>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</sst>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22" fontId="1" fillId="0" borderId="6" xfId="0" applyNumberFormat="1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14" fontId="1" fillId="0" borderId="1" xfId="0" applyNumberFormat="1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0" fillId="0" borderId="12" xfId="0" applyBorder="1"/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14" fontId="1" fillId="0" borderId="3" xfId="0" applyNumberFormat="1" applyFont="1" applyBorder="1" applyAlignment="1">
      <alignment readingOrder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27" formatCode="dd/mm/yyyy\ hh:mm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5BDFE-16DF-4A30-ACA7-ED77E1EDCB08}" name="Table1" displayName="Table1" ref="A1:I149" totalsRowShown="0" headerRowDxfId="11" dataDxfId="10" tableBorderDxfId="9">
  <autoFilter ref="A1:I149" xr:uid="{51F5BDFE-16DF-4A30-ACA7-ED77E1EDCB08}"/>
  <tableColumns count="9">
    <tableColumn id="1" xr3:uid="{F26CAC2C-ED7E-454D-9603-A08DDE95AD68}" name="EMP ID" dataDxfId="8"/>
    <tableColumn id="2" xr3:uid="{B21A1AD6-F236-4ABB-A257-F6F4F245CDF4}" name="EMP NAME" dataDxfId="7"/>
    <tableColumn id="3" xr3:uid="{9F10C360-D93B-4BD5-9190-25754F96CC86}" name="DESIGNATION" dataDxfId="6"/>
    <tableColumn id="4" xr3:uid="{C4779198-02FB-431D-BFAC-D12AF3E50C3A}" name="COUNTRY" dataDxfId="5"/>
    <tableColumn id="5" xr3:uid="{0FA56574-38E6-4387-9A3A-915E8EEC4E1F}" name="SALARY" dataDxfId="4"/>
    <tableColumn id="6" xr3:uid="{0416AE8D-0D7B-4472-82D2-F38D96EDEB57}" name="DATE OF JOINING" dataDxfId="3"/>
    <tableColumn id="7" xr3:uid="{3058D71A-7D63-409D-B165-0D49038EB710}" name="PERFORMANCE RATING" dataDxfId="2"/>
    <tableColumn id="8" xr3:uid="{EAB4FA38-94EB-4F91-BF2F-83BECB6FCEFC}" name="GENDER" dataDxfId="1"/>
    <tableColumn id="9" xr3:uid="{EBDE95ED-FB43-4B70-BD3D-72CB537CE69D}" name="EMP EMAIL ID " dataDxfId="0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D19D02-9C6B-4252-9BF5-54CA1B1EEEE4}" name="Table2" displayName="Table2" ref="K3:L17" totalsRowShown="0">
  <autoFilter ref="K3:L17" xr:uid="{E9D19D02-9C6B-4252-9BF5-54CA1B1EEEE4}"/>
  <tableColumns count="2">
    <tableColumn id="1" xr3:uid="{224F8038-FFAD-4059-9D8B-B61080475061}" name="FORMULA"/>
    <tableColumn id="2" xr3:uid="{F8D7A146-31D7-42BF-B8D2-B18465E7AE91}" name="VALU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tabSelected="1" topLeftCell="A2" workbookViewId="0">
      <selection activeCell="L14" sqref="L14"/>
    </sheetView>
  </sheetViews>
  <sheetFormatPr defaultRowHeight="15"/>
  <cols>
    <col min="1" max="1" width="11.5703125" bestFit="1" customWidth="1"/>
    <col min="2" max="2" width="13.28515625" bestFit="1" customWidth="1"/>
    <col min="3" max="3" width="15.7109375" bestFit="1" customWidth="1"/>
    <col min="4" max="4" width="11.85546875" bestFit="1" customWidth="1"/>
    <col min="5" max="5" width="10" bestFit="1" customWidth="1"/>
    <col min="6" max="6" width="19.140625" bestFit="1" customWidth="1"/>
    <col min="7" max="7" width="25.42578125" customWidth="1"/>
    <col min="8" max="8" width="10.5703125" bestFit="1" customWidth="1"/>
    <col min="9" max="9" width="24.140625" bestFit="1" customWidth="1"/>
    <col min="11" max="11" width="11.85546875" bestFit="1" customWidth="1"/>
    <col min="12" max="12" width="36.5703125" bestFit="1" customWidth="1"/>
  </cols>
  <sheetData>
    <row r="1" spans="1:1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8" t="s">
        <v>8</v>
      </c>
    </row>
    <row r="2" spans="1:12">
      <c r="A2" s="12" t="s">
        <v>9</v>
      </c>
      <c r="B2" s="1" t="s">
        <v>10</v>
      </c>
      <c r="C2" s="1" t="s">
        <v>11</v>
      </c>
      <c r="D2" s="1" t="s">
        <v>12</v>
      </c>
      <c r="E2" s="1">
        <v>63184</v>
      </c>
      <c r="F2" s="11">
        <v>42022</v>
      </c>
      <c r="G2" s="1">
        <v>2</v>
      </c>
      <c r="H2" s="1"/>
      <c r="I2" s="4" t="s">
        <v>13</v>
      </c>
    </row>
    <row r="3" spans="1:12">
      <c r="A3" s="12" t="s">
        <v>14</v>
      </c>
      <c r="B3" s="1" t="s">
        <v>15</v>
      </c>
      <c r="C3" s="1" t="s">
        <v>16</v>
      </c>
      <c r="D3" s="1" t="s">
        <v>17</v>
      </c>
      <c r="E3" s="1">
        <v>94406</v>
      </c>
      <c r="F3" s="11">
        <v>42023</v>
      </c>
      <c r="G3" s="1">
        <v>1</v>
      </c>
      <c r="H3" s="1" t="s">
        <v>18</v>
      </c>
      <c r="I3" s="4" t="s">
        <v>19</v>
      </c>
      <c r="K3" t="s">
        <v>20</v>
      </c>
      <c r="L3" t="s">
        <v>21</v>
      </c>
    </row>
    <row r="4" spans="1:12">
      <c r="A4" s="12" t="s">
        <v>22</v>
      </c>
      <c r="B4" s="1" t="s">
        <v>23</v>
      </c>
      <c r="C4" s="1" t="s">
        <v>16</v>
      </c>
      <c r="D4" s="1" t="s">
        <v>12</v>
      </c>
      <c r="E4" s="1">
        <v>64120</v>
      </c>
      <c r="F4" s="11">
        <v>42024</v>
      </c>
      <c r="G4" s="1">
        <v>1</v>
      </c>
      <c r="H4" s="1" t="s">
        <v>18</v>
      </c>
      <c r="I4" s="4" t="s">
        <v>24</v>
      </c>
    </row>
    <row r="5" spans="1:12">
      <c r="A5" s="12" t="s">
        <v>25</v>
      </c>
      <c r="B5" s="1" t="s">
        <v>10</v>
      </c>
      <c r="C5" s="1" t="s">
        <v>26</v>
      </c>
      <c r="D5" s="1" t="s">
        <v>27</v>
      </c>
      <c r="E5" s="1">
        <v>78421</v>
      </c>
      <c r="F5" s="11">
        <v>42025</v>
      </c>
      <c r="G5" s="1">
        <v>2</v>
      </c>
      <c r="H5" s="1" t="s">
        <v>28</v>
      </c>
      <c r="I5" s="4" t="s">
        <v>29</v>
      </c>
      <c r="K5" s="21" t="s">
        <v>30</v>
      </c>
      <c r="L5">
        <f>SUMIF(B:B,"CHRIS LEE",E:E)</f>
        <v>1501075</v>
      </c>
    </row>
    <row r="6" spans="1:12">
      <c r="A6" s="12" t="s">
        <v>31</v>
      </c>
      <c r="B6" s="1" t="s">
        <v>32</v>
      </c>
      <c r="C6" s="1" t="s">
        <v>16</v>
      </c>
      <c r="D6" s="1"/>
      <c r="E6" s="1">
        <v>67721</v>
      </c>
      <c r="F6" s="11">
        <v>42026</v>
      </c>
      <c r="G6" s="1"/>
      <c r="H6" s="1" t="s">
        <v>18</v>
      </c>
      <c r="I6" s="4" t="s">
        <v>19</v>
      </c>
    </row>
    <row r="7" spans="1:12">
      <c r="A7" s="12" t="s">
        <v>33</v>
      </c>
      <c r="B7" s="1" t="s">
        <v>34</v>
      </c>
      <c r="C7" s="2" t="s">
        <v>35</v>
      </c>
      <c r="D7" s="1"/>
      <c r="E7" s="1">
        <v>35364</v>
      </c>
      <c r="F7" s="11">
        <v>42027</v>
      </c>
      <c r="G7" s="1">
        <v>2</v>
      </c>
      <c r="H7" s="1" t="s">
        <v>36</v>
      </c>
      <c r="I7" s="4" t="s">
        <v>37</v>
      </c>
      <c r="L7">
        <f>SUMIF(G:G,5,E:E)</f>
        <v>1549361</v>
      </c>
    </row>
    <row r="8" spans="1:12">
      <c r="A8" s="12" t="s">
        <v>38</v>
      </c>
      <c r="B8" s="1" t="s">
        <v>10</v>
      </c>
      <c r="C8" s="1" t="s">
        <v>26</v>
      </c>
      <c r="D8" s="1" t="s">
        <v>12</v>
      </c>
      <c r="E8" s="1">
        <v>97881</v>
      </c>
      <c r="F8" s="11">
        <v>42028</v>
      </c>
      <c r="G8" s="1"/>
      <c r="H8" s="1" t="s">
        <v>28</v>
      </c>
      <c r="I8" s="4" t="s">
        <v>39</v>
      </c>
    </row>
    <row r="9" spans="1:12">
      <c r="A9" s="12" t="s">
        <v>40</v>
      </c>
      <c r="B9" s="1" t="s">
        <v>34</v>
      </c>
      <c r="C9" s="1" t="s">
        <v>41</v>
      </c>
      <c r="D9" s="1" t="s">
        <v>42</v>
      </c>
      <c r="E9" s="1">
        <v>91846</v>
      </c>
      <c r="F9" s="11">
        <v>42029</v>
      </c>
      <c r="G9" s="1"/>
      <c r="H9" s="1" t="s">
        <v>18</v>
      </c>
      <c r="I9" s="4" t="s">
        <v>43</v>
      </c>
    </row>
    <row r="10" spans="1:12">
      <c r="A10" s="12" t="s">
        <v>44</v>
      </c>
      <c r="B10" s="1" t="s">
        <v>32</v>
      </c>
      <c r="C10" s="1" t="s">
        <v>11</v>
      </c>
      <c r="D10" s="1" t="s">
        <v>42</v>
      </c>
      <c r="E10" s="1">
        <v>64247</v>
      </c>
      <c r="F10" s="11">
        <v>42030</v>
      </c>
      <c r="G10" s="1">
        <v>1</v>
      </c>
      <c r="H10" s="1" t="s">
        <v>28</v>
      </c>
      <c r="I10" s="4" t="s">
        <v>45</v>
      </c>
      <c r="K10" s="22" t="s">
        <v>46</v>
      </c>
      <c r="L10">
        <f>COUNTIF(D:D,"GERMANY")</f>
        <v>22</v>
      </c>
    </row>
    <row r="11" spans="1:12">
      <c r="A11" s="12" t="s">
        <v>47</v>
      </c>
      <c r="B11" s="1" t="s">
        <v>32</v>
      </c>
      <c r="C11" s="1" t="s">
        <v>26</v>
      </c>
      <c r="D11" s="1" t="s">
        <v>17</v>
      </c>
      <c r="E11" s="1">
        <v>91180</v>
      </c>
      <c r="F11" s="11">
        <v>42031</v>
      </c>
      <c r="G11" s="1">
        <v>5</v>
      </c>
      <c r="H11" s="1" t="s">
        <v>18</v>
      </c>
      <c r="I11" s="4" t="s">
        <v>48</v>
      </c>
    </row>
    <row r="12" spans="1:12">
      <c r="A12" s="12" t="s">
        <v>49</v>
      </c>
      <c r="B12" s="9" t="s">
        <v>50</v>
      </c>
      <c r="C12" s="1" t="s">
        <v>16</v>
      </c>
      <c r="D12" s="1"/>
      <c r="E12" s="1">
        <v>96418</v>
      </c>
      <c r="F12" s="11">
        <v>42032</v>
      </c>
      <c r="G12" s="1">
        <v>5</v>
      </c>
      <c r="H12" s="1" t="s">
        <v>18</v>
      </c>
      <c r="I12" s="4" t="s">
        <v>51</v>
      </c>
    </row>
    <row r="13" spans="1:12">
      <c r="A13" s="15" t="s">
        <v>52</v>
      </c>
      <c r="B13" s="14" t="s">
        <v>32</v>
      </c>
      <c r="C13" s="3"/>
      <c r="D13" s="1" t="s">
        <v>27</v>
      </c>
      <c r="E13" s="1">
        <v>62158</v>
      </c>
      <c r="F13" s="11">
        <v>42033</v>
      </c>
      <c r="G13" s="1">
        <v>4</v>
      </c>
      <c r="H13" s="1"/>
      <c r="I13" s="4" t="s">
        <v>53</v>
      </c>
      <c r="K13" s="22" t="s">
        <v>54</v>
      </c>
      <c r="L13">
        <f>AVERAGEIF(C:C,"HR",E:E)</f>
        <v>68451.818181818177</v>
      </c>
    </row>
    <row r="14" spans="1:12">
      <c r="A14" s="12" t="s">
        <v>55</v>
      </c>
      <c r="B14" s="6" t="s">
        <v>23</v>
      </c>
      <c r="C14" s="1" t="s">
        <v>41</v>
      </c>
      <c r="D14" s="1"/>
      <c r="E14" s="1">
        <v>59894</v>
      </c>
      <c r="F14" s="11">
        <v>42034</v>
      </c>
      <c r="G14" s="1">
        <v>2</v>
      </c>
      <c r="H14" s="1" t="s">
        <v>18</v>
      </c>
      <c r="I14" s="4" t="s">
        <v>56</v>
      </c>
    </row>
    <row r="15" spans="1:12">
      <c r="A15" s="12" t="s">
        <v>57</v>
      </c>
      <c r="B15" s="1"/>
      <c r="C15" s="1" t="s">
        <v>26</v>
      </c>
      <c r="D15" s="1" t="s">
        <v>27</v>
      </c>
      <c r="E15" s="1">
        <v>92443</v>
      </c>
      <c r="F15" s="11">
        <v>42035</v>
      </c>
      <c r="G15" s="1">
        <v>3</v>
      </c>
      <c r="H15" s="1" t="s">
        <v>36</v>
      </c>
      <c r="I15" s="4" t="s">
        <v>58</v>
      </c>
    </row>
    <row r="16" spans="1:12">
      <c r="A16" s="12" t="s">
        <v>59</v>
      </c>
      <c r="B16" s="2" t="s">
        <v>50</v>
      </c>
      <c r="C16" s="1"/>
      <c r="D16" s="1" t="s">
        <v>12</v>
      </c>
      <c r="E16" s="1">
        <v>90271</v>
      </c>
      <c r="F16" s="11">
        <v>42036</v>
      </c>
      <c r="G16" s="1"/>
      <c r="H16" s="1"/>
      <c r="I16" s="4" t="s">
        <v>60</v>
      </c>
      <c r="K16" s="22" t="s">
        <v>61</v>
      </c>
      <c r="L16" s="20" t="str">
        <f>IF(E21&gt;=80000,"HIGH SALARY","LOW SALARY")</f>
        <v>HIGH SALARY</v>
      </c>
    </row>
    <row r="17" spans="1:9">
      <c r="A17" s="12" t="s">
        <v>62</v>
      </c>
      <c r="B17" s="1" t="s">
        <v>23</v>
      </c>
      <c r="C17" s="1" t="s">
        <v>11</v>
      </c>
      <c r="D17" s="1" t="s">
        <v>63</v>
      </c>
      <c r="E17" s="1">
        <v>41341</v>
      </c>
      <c r="F17" s="11">
        <v>42037</v>
      </c>
      <c r="G17" s="1">
        <v>1</v>
      </c>
      <c r="H17" s="1" t="s">
        <v>36</v>
      </c>
      <c r="I17" s="4" t="s">
        <v>64</v>
      </c>
    </row>
    <row r="18" spans="1:9">
      <c r="A18" s="12" t="s">
        <v>65</v>
      </c>
      <c r="B18" s="1" t="s">
        <v>10</v>
      </c>
      <c r="C18" s="1" t="s">
        <v>11</v>
      </c>
      <c r="D18" s="1" t="s">
        <v>42</v>
      </c>
      <c r="E18" s="1">
        <v>73602</v>
      </c>
      <c r="F18" s="11">
        <v>42038</v>
      </c>
      <c r="G18" s="1"/>
      <c r="H18" s="1"/>
      <c r="I18" s="4" t="s">
        <v>66</v>
      </c>
    </row>
    <row r="19" spans="1:9">
      <c r="A19" s="12" t="s">
        <v>67</v>
      </c>
      <c r="B19" s="2" t="s">
        <v>68</v>
      </c>
      <c r="C19" s="1"/>
      <c r="D19" s="1" t="s">
        <v>27</v>
      </c>
      <c r="E19" s="1">
        <v>67531</v>
      </c>
      <c r="F19" s="11">
        <v>42039</v>
      </c>
      <c r="G19" s="1">
        <v>5</v>
      </c>
      <c r="H19" s="1" t="s">
        <v>28</v>
      </c>
      <c r="I19" s="4" t="s">
        <v>69</v>
      </c>
    </row>
    <row r="20" spans="1:9">
      <c r="A20" s="12" t="s">
        <v>70</v>
      </c>
      <c r="B20" s="1" t="s">
        <v>23</v>
      </c>
      <c r="C20" s="1" t="s">
        <v>41</v>
      </c>
      <c r="D20" s="1" t="s">
        <v>17</v>
      </c>
      <c r="E20" s="1" t="s">
        <v>71</v>
      </c>
      <c r="F20" s="11">
        <v>42040</v>
      </c>
      <c r="G20" s="1">
        <v>2</v>
      </c>
      <c r="H20" s="1" t="s">
        <v>36</v>
      </c>
      <c r="I20" s="4" t="s">
        <v>72</v>
      </c>
    </row>
    <row r="21" spans="1:9">
      <c r="A21" s="12" t="s">
        <v>73</v>
      </c>
      <c r="B21" s="1" t="s">
        <v>23</v>
      </c>
      <c r="C21" s="1" t="s">
        <v>41</v>
      </c>
      <c r="D21" s="1"/>
      <c r="E21" s="1">
        <v>98922</v>
      </c>
      <c r="F21" s="11">
        <v>42041</v>
      </c>
      <c r="G21" s="1">
        <v>4</v>
      </c>
      <c r="H21" s="1"/>
      <c r="I21" s="4" t="s">
        <v>74</v>
      </c>
    </row>
    <row r="22" spans="1:9">
      <c r="A22" s="12" t="s">
        <v>75</v>
      </c>
      <c r="B22" s="1" t="s">
        <v>68</v>
      </c>
      <c r="C22" s="1" t="s">
        <v>11</v>
      </c>
      <c r="D22" s="1" t="s">
        <v>27</v>
      </c>
      <c r="E22" s="1">
        <v>38333</v>
      </c>
      <c r="F22" s="11">
        <v>42042</v>
      </c>
      <c r="G22" s="1">
        <v>5</v>
      </c>
      <c r="H22" s="1"/>
      <c r="I22" s="4" t="s">
        <v>76</v>
      </c>
    </row>
    <row r="23" spans="1:9">
      <c r="A23" s="12" t="s">
        <v>77</v>
      </c>
      <c r="B23" s="1" t="s">
        <v>10</v>
      </c>
      <c r="C23" s="1" t="s">
        <v>35</v>
      </c>
      <c r="D23" s="1" t="s">
        <v>42</v>
      </c>
      <c r="E23" s="1">
        <v>36515</v>
      </c>
      <c r="F23" s="11">
        <v>42043</v>
      </c>
      <c r="G23" s="1">
        <v>3</v>
      </c>
      <c r="H23" s="1" t="s">
        <v>18</v>
      </c>
      <c r="I23" s="4" t="s">
        <v>78</v>
      </c>
    </row>
    <row r="24" spans="1:9">
      <c r="A24" s="12" t="s">
        <v>79</v>
      </c>
      <c r="B24" s="1" t="s">
        <v>32</v>
      </c>
      <c r="C24" s="1" t="s">
        <v>11</v>
      </c>
      <c r="D24" s="1"/>
      <c r="E24" s="1">
        <v>91005</v>
      </c>
      <c r="F24" s="11">
        <v>42044</v>
      </c>
      <c r="G24" s="1">
        <v>1</v>
      </c>
      <c r="H24" s="1" t="s">
        <v>36</v>
      </c>
      <c r="I24" s="4" t="s">
        <v>80</v>
      </c>
    </row>
    <row r="25" spans="1:9">
      <c r="A25" s="12" t="s">
        <v>81</v>
      </c>
      <c r="B25" s="1" t="s">
        <v>34</v>
      </c>
      <c r="C25" s="1"/>
      <c r="D25" s="1"/>
      <c r="E25" s="1">
        <v>52272</v>
      </c>
      <c r="F25" s="11">
        <v>42045</v>
      </c>
      <c r="G25" s="1">
        <v>3</v>
      </c>
      <c r="H25" s="1"/>
      <c r="I25" s="4" t="s">
        <v>82</v>
      </c>
    </row>
    <row r="26" spans="1:9">
      <c r="A26" s="12" t="s">
        <v>83</v>
      </c>
      <c r="B26" s="1" t="s">
        <v>68</v>
      </c>
      <c r="C26" s="1" t="s">
        <v>16</v>
      </c>
      <c r="D26" s="1" t="s">
        <v>12</v>
      </c>
      <c r="E26" s="1">
        <v>76518</v>
      </c>
      <c r="F26" s="11">
        <v>42046</v>
      </c>
      <c r="G26" s="1">
        <v>2</v>
      </c>
      <c r="H26" s="1" t="s">
        <v>28</v>
      </c>
      <c r="I26" s="4" t="s">
        <v>84</v>
      </c>
    </row>
    <row r="27" spans="1:9">
      <c r="A27" s="12" t="s">
        <v>85</v>
      </c>
      <c r="B27" s="1" t="s">
        <v>10</v>
      </c>
      <c r="C27" s="1" t="s">
        <v>26</v>
      </c>
      <c r="D27" s="1" t="s">
        <v>42</v>
      </c>
      <c r="E27" s="1">
        <v>41448</v>
      </c>
      <c r="F27" s="11">
        <v>42047</v>
      </c>
      <c r="G27" s="1">
        <v>3</v>
      </c>
      <c r="H27" s="1" t="s">
        <v>36</v>
      </c>
      <c r="I27" s="4" t="s">
        <v>86</v>
      </c>
    </row>
    <row r="28" spans="1:9">
      <c r="A28" s="12" t="s">
        <v>87</v>
      </c>
      <c r="B28" s="1" t="s">
        <v>15</v>
      </c>
      <c r="C28" s="1" t="s">
        <v>41</v>
      </c>
      <c r="D28" s="1" t="s">
        <v>42</v>
      </c>
      <c r="E28" s="1">
        <v>49282</v>
      </c>
      <c r="F28" s="11">
        <v>42048</v>
      </c>
      <c r="G28" s="1">
        <v>2</v>
      </c>
      <c r="H28" s="1" t="s">
        <v>28</v>
      </c>
      <c r="I28" s="4" t="s">
        <v>88</v>
      </c>
    </row>
    <row r="29" spans="1:9">
      <c r="A29" s="12" t="s">
        <v>89</v>
      </c>
      <c r="B29" s="1" t="s">
        <v>50</v>
      </c>
      <c r="C29" s="1" t="s">
        <v>35</v>
      </c>
      <c r="D29" s="1" t="s">
        <v>42</v>
      </c>
      <c r="E29" s="1">
        <v>92959</v>
      </c>
      <c r="F29" s="11">
        <v>42049</v>
      </c>
      <c r="G29" s="1">
        <v>5</v>
      </c>
      <c r="H29" s="1"/>
      <c r="I29" s="4" t="s">
        <v>90</v>
      </c>
    </row>
    <row r="30" spans="1:9">
      <c r="A30" s="12" t="s">
        <v>91</v>
      </c>
      <c r="B30" s="1"/>
      <c r="C30" s="2" t="s">
        <v>35</v>
      </c>
      <c r="D30" s="1"/>
      <c r="E30" s="1">
        <v>92259</v>
      </c>
      <c r="F30" s="11">
        <v>42050</v>
      </c>
      <c r="G30" s="1">
        <v>1</v>
      </c>
      <c r="H30" s="1" t="s">
        <v>92</v>
      </c>
      <c r="I30" s="4" t="s">
        <v>93</v>
      </c>
    </row>
    <row r="31" spans="1:9">
      <c r="A31" s="12" t="s">
        <v>94</v>
      </c>
      <c r="B31" s="1" t="s">
        <v>68</v>
      </c>
      <c r="C31" s="1" t="s">
        <v>41</v>
      </c>
      <c r="D31" s="1" t="s">
        <v>12</v>
      </c>
      <c r="E31" s="1">
        <v>92299</v>
      </c>
      <c r="F31" s="11">
        <v>42051</v>
      </c>
      <c r="G31" s="1">
        <v>3</v>
      </c>
      <c r="H31" s="1" t="s">
        <v>18</v>
      </c>
      <c r="I31" s="4" t="s">
        <v>95</v>
      </c>
    </row>
    <row r="32" spans="1:9">
      <c r="A32" s="12" t="s">
        <v>96</v>
      </c>
      <c r="B32" s="1" t="s">
        <v>32</v>
      </c>
      <c r="C32" s="1" t="s">
        <v>41</v>
      </c>
      <c r="D32" s="1"/>
      <c r="E32" s="1">
        <v>95586</v>
      </c>
      <c r="F32" s="11">
        <v>42052</v>
      </c>
      <c r="G32" s="1">
        <v>3</v>
      </c>
      <c r="H32" s="1" t="s">
        <v>36</v>
      </c>
      <c r="I32" s="4" t="s">
        <v>97</v>
      </c>
    </row>
    <row r="33" spans="1:9">
      <c r="A33" s="12" t="s">
        <v>98</v>
      </c>
      <c r="B33" s="1" t="s">
        <v>34</v>
      </c>
      <c r="C33" s="1"/>
      <c r="D33" s="1" t="s">
        <v>17</v>
      </c>
      <c r="E33" s="1">
        <v>95367</v>
      </c>
      <c r="F33" s="11">
        <v>42053</v>
      </c>
      <c r="G33" s="1"/>
      <c r="H33" s="1" t="s">
        <v>18</v>
      </c>
      <c r="I33" s="4" t="s">
        <v>99</v>
      </c>
    </row>
    <row r="34" spans="1:9">
      <c r="A34" s="12" t="s">
        <v>100</v>
      </c>
      <c r="B34" s="1" t="s">
        <v>15</v>
      </c>
      <c r="C34" s="1" t="s">
        <v>16</v>
      </c>
      <c r="D34" s="1" t="s">
        <v>63</v>
      </c>
      <c r="E34" s="1">
        <v>79549</v>
      </c>
      <c r="F34" s="11">
        <v>42054</v>
      </c>
      <c r="G34" s="1">
        <v>3</v>
      </c>
      <c r="H34" s="1"/>
      <c r="I34" s="4" t="s">
        <v>101</v>
      </c>
    </row>
    <row r="35" spans="1:9">
      <c r="A35" s="12" t="s">
        <v>102</v>
      </c>
      <c r="B35" s="2" t="s">
        <v>10</v>
      </c>
      <c r="C35" s="1"/>
      <c r="D35" s="1" t="s">
        <v>42</v>
      </c>
      <c r="E35" s="1">
        <v>54463</v>
      </c>
      <c r="F35" s="11">
        <v>42055</v>
      </c>
      <c r="G35" s="1">
        <v>4</v>
      </c>
      <c r="H35" s="1" t="s">
        <v>18</v>
      </c>
      <c r="I35" s="4" t="s">
        <v>103</v>
      </c>
    </row>
    <row r="36" spans="1:9">
      <c r="A36" s="12" t="s">
        <v>104</v>
      </c>
      <c r="B36" s="1" t="s">
        <v>10</v>
      </c>
      <c r="C36" s="1" t="s">
        <v>26</v>
      </c>
      <c r="D36" s="1" t="s">
        <v>17</v>
      </c>
      <c r="E36" s="1">
        <v>89781</v>
      </c>
      <c r="F36" s="11">
        <v>42056</v>
      </c>
      <c r="G36" s="1"/>
      <c r="H36" s="1" t="s">
        <v>28</v>
      </c>
      <c r="I36" s="4" t="s">
        <v>105</v>
      </c>
    </row>
    <row r="37" spans="1:9">
      <c r="A37" s="12" t="s">
        <v>106</v>
      </c>
      <c r="B37" s="1" t="s">
        <v>10</v>
      </c>
      <c r="C37" s="1" t="s">
        <v>41</v>
      </c>
      <c r="D37" s="1"/>
      <c r="E37" s="1">
        <v>64796</v>
      </c>
      <c r="F37" s="11">
        <v>42057</v>
      </c>
      <c r="G37" s="1"/>
      <c r="H37" s="1" t="s">
        <v>36</v>
      </c>
      <c r="I37" s="4" t="s">
        <v>107</v>
      </c>
    </row>
    <row r="38" spans="1:9">
      <c r="A38" s="12" t="s">
        <v>108</v>
      </c>
      <c r="B38" s="1" t="s">
        <v>15</v>
      </c>
      <c r="C38" s="1" t="s">
        <v>35</v>
      </c>
      <c r="D38" s="1" t="s">
        <v>42</v>
      </c>
      <c r="E38" s="1">
        <v>52093</v>
      </c>
      <c r="F38" s="11">
        <v>42058</v>
      </c>
      <c r="G38" s="1">
        <v>5</v>
      </c>
      <c r="H38" s="1"/>
      <c r="I38" s="4" t="s">
        <v>109</v>
      </c>
    </row>
    <row r="39" spans="1:9">
      <c r="A39" s="12" t="s">
        <v>110</v>
      </c>
      <c r="B39" s="1" t="s">
        <v>34</v>
      </c>
      <c r="C39" s="1" t="s">
        <v>41</v>
      </c>
      <c r="D39" s="1" t="s">
        <v>42</v>
      </c>
      <c r="E39" s="1">
        <v>48224</v>
      </c>
      <c r="F39" s="11">
        <v>42059</v>
      </c>
      <c r="G39" s="1">
        <v>3</v>
      </c>
      <c r="H39" s="1"/>
      <c r="I39" s="4" t="s">
        <v>111</v>
      </c>
    </row>
    <row r="40" spans="1:9">
      <c r="A40" s="12" t="s">
        <v>112</v>
      </c>
      <c r="B40" s="1" t="s">
        <v>50</v>
      </c>
      <c r="C40" s="1" t="s">
        <v>11</v>
      </c>
      <c r="D40" s="1" t="s">
        <v>42</v>
      </c>
      <c r="E40" s="1" t="s">
        <v>71</v>
      </c>
      <c r="F40" s="11">
        <v>42060</v>
      </c>
      <c r="G40" s="1">
        <v>4</v>
      </c>
      <c r="H40" s="1" t="s">
        <v>28</v>
      </c>
      <c r="I40" s="4" t="s">
        <v>113</v>
      </c>
    </row>
    <row r="41" spans="1:9">
      <c r="A41" s="12" t="s">
        <v>114</v>
      </c>
      <c r="B41" s="1" t="s">
        <v>10</v>
      </c>
      <c r="C41" s="1" t="s">
        <v>26</v>
      </c>
      <c r="D41" s="1" t="s">
        <v>12</v>
      </c>
      <c r="E41" s="1">
        <v>33956</v>
      </c>
      <c r="F41" s="11">
        <v>42061</v>
      </c>
      <c r="G41" s="1"/>
      <c r="H41" s="1"/>
      <c r="I41" s="4" t="s">
        <v>115</v>
      </c>
    </row>
    <row r="42" spans="1:9">
      <c r="A42" s="12" t="s">
        <v>116</v>
      </c>
      <c r="B42" s="2" t="s">
        <v>50</v>
      </c>
      <c r="C42" s="1"/>
      <c r="D42" s="1" t="s">
        <v>63</v>
      </c>
      <c r="E42" s="1">
        <v>64913</v>
      </c>
      <c r="F42" s="11">
        <v>42062</v>
      </c>
      <c r="G42" s="1">
        <v>1</v>
      </c>
      <c r="H42" s="1" t="s">
        <v>28</v>
      </c>
      <c r="I42" s="4" t="s">
        <v>117</v>
      </c>
    </row>
    <row r="43" spans="1:9">
      <c r="A43" s="12" t="s">
        <v>118</v>
      </c>
      <c r="B43" s="1" t="s">
        <v>10</v>
      </c>
      <c r="C43" s="1" t="s">
        <v>35</v>
      </c>
      <c r="D43" s="1" t="s">
        <v>63</v>
      </c>
      <c r="E43" s="1">
        <v>35326</v>
      </c>
      <c r="F43" s="11">
        <v>42063</v>
      </c>
      <c r="G43" s="1"/>
      <c r="H43" s="1" t="s">
        <v>28</v>
      </c>
      <c r="I43" s="4" t="s">
        <v>119</v>
      </c>
    </row>
    <row r="44" spans="1:9">
      <c r="A44" s="12" t="s">
        <v>120</v>
      </c>
      <c r="B44" s="1" t="s">
        <v>34</v>
      </c>
      <c r="C44" s="1" t="s">
        <v>11</v>
      </c>
      <c r="D44" s="1"/>
      <c r="E44" s="1">
        <v>81610</v>
      </c>
      <c r="F44" s="11">
        <v>42064</v>
      </c>
      <c r="G44" s="1">
        <v>1</v>
      </c>
      <c r="H44" s="1"/>
      <c r="I44" s="4" t="s">
        <v>121</v>
      </c>
    </row>
    <row r="45" spans="1:9">
      <c r="A45" s="12" t="s">
        <v>122</v>
      </c>
      <c r="B45" s="1"/>
      <c r="C45" s="1" t="s">
        <v>41</v>
      </c>
      <c r="D45" s="1"/>
      <c r="E45" s="1">
        <v>58962</v>
      </c>
      <c r="F45" s="11">
        <v>42065</v>
      </c>
      <c r="G45" s="1">
        <v>3</v>
      </c>
      <c r="H45" s="1" t="s">
        <v>36</v>
      </c>
      <c r="I45" s="4" t="s">
        <v>51</v>
      </c>
    </row>
    <row r="46" spans="1:9">
      <c r="A46" s="12" t="s">
        <v>123</v>
      </c>
      <c r="B46" s="1" t="s">
        <v>34</v>
      </c>
      <c r="C46" s="1" t="s">
        <v>26</v>
      </c>
      <c r="D46" s="1" t="s">
        <v>12</v>
      </c>
      <c r="E46" s="1">
        <v>92701</v>
      </c>
      <c r="F46" s="11">
        <v>42066</v>
      </c>
      <c r="G46" s="1">
        <v>3</v>
      </c>
      <c r="H46" s="1" t="s">
        <v>36</v>
      </c>
      <c r="I46" s="4" t="s">
        <v>124</v>
      </c>
    </row>
    <row r="47" spans="1:9">
      <c r="A47" s="12" t="s">
        <v>125</v>
      </c>
      <c r="B47" s="1" t="s">
        <v>34</v>
      </c>
      <c r="C47" s="1" t="s">
        <v>41</v>
      </c>
      <c r="D47" s="1" t="s">
        <v>27</v>
      </c>
      <c r="E47" s="1">
        <v>58245</v>
      </c>
      <c r="F47" s="11">
        <v>42067</v>
      </c>
      <c r="G47" s="1">
        <v>4</v>
      </c>
      <c r="H47" s="1"/>
      <c r="I47" s="4" t="s">
        <v>126</v>
      </c>
    </row>
    <row r="48" spans="1:9">
      <c r="A48" s="12" t="s">
        <v>127</v>
      </c>
      <c r="B48" s="1" t="s">
        <v>15</v>
      </c>
      <c r="C48" s="1" t="s">
        <v>11</v>
      </c>
      <c r="D48" s="1"/>
      <c r="E48" s="1">
        <v>66513</v>
      </c>
      <c r="F48" s="11">
        <v>42068</v>
      </c>
      <c r="G48" s="1">
        <v>2</v>
      </c>
      <c r="H48" s="1" t="s">
        <v>36</v>
      </c>
      <c r="I48" s="4" t="s">
        <v>29</v>
      </c>
    </row>
    <row r="49" spans="1:9">
      <c r="A49" s="12" t="s">
        <v>128</v>
      </c>
      <c r="B49" s="1" t="s">
        <v>68</v>
      </c>
      <c r="C49" s="1" t="s">
        <v>41</v>
      </c>
      <c r="D49" s="1" t="s">
        <v>12</v>
      </c>
      <c r="E49" s="1">
        <v>78720</v>
      </c>
      <c r="F49" s="11">
        <v>42069</v>
      </c>
      <c r="G49" s="1">
        <v>5</v>
      </c>
      <c r="H49" s="1" t="s">
        <v>28</v>
      </c>
      <c r="I49" s="4" t="s">
        <v>113</v>
      </c>
    </row>
    <row r="50" spans="1:9">
      <c r="A50" s="12" t="s">
        <v>129</v>
      </c>
      <c r="B50" s="1" t="s">
        <v>34</v>
      </c>
      <c r="C50" s="1"/>
      <c r="D50" s="1"/>
      <c r="E50" s="1">
        <v>30686</v>
      </c>
      <c r="F50" s="11">
        <v>42070</v>
      </c>
      <c r="G50" s="1">
        <v>2</v>
      </c>
      <c r="H50" s="1" t="s">
        <v>28</v>
      </c>
      <c r="I50" s="4" t="s">
        <v>130</v>
      </c>
    </row>
    <row r="51" spans="1:9">
      <c r="A51" s="12" t="s">
        <v>131</v>
      </c>
      <c r="B51" s="1" t="s">
        <v>32</v>
      </c>
      <c r="C51" s="1" t="s">
        <v>16</v>
      </c>
      <c r="D51" s="1" t="s">
        <v>27</v>
      </c>
      <c r="E51" s="1">
        <v>39423</v>
      </c>
      <c r="F51" s="11">
        <v>42071</v>
      </c>
      <c r="G51" s="1">
        <v>5</v>
      </c>
      <c r="H51" s="1"/>
      <c r="I51" s="4" t="s">
        <v>132</v>
      </c>
    </row>
    <row r="52" spans="1:9">
      <c r="A52" s="12" t="s">
        <v>133</v>
      </c>
      <c r="B52" s="1" t="s">
        <v>68</v>
      </c>
      <c r="C52" s="2" t="s">
        <v>35</v>
      </c>
      <c r="D52" s="1"/>
      <c r="E52" s="1">
        <v>30280</v>
      </c>
      <c r="F52" s="11">
        <v>42072</v>
      </c>
      <c r="G52" s="1">
        <v>1</v>
      </c>
      <c r="H52" s="1"/>
      <c r="I52" s="4" t="s">
        <v>134</v>
      </c>
    </row>
    <row r="53" spans="1:9">
      <c r="A53" s="12" t="s">
        <v>135</v>
      </c>
      <c r="B53" s="1" t="s">
        <v>68</v>
      </c>
      <c r="C53" s="1" t="s">
        <v>11</v>
      </c>
      <c r="D53" s="1" t="s">
        <v>42</v>
      </c>
      <c r="E53" s="1">
        <v>33352</v>
      </c>
      <c r="F53" s="11">
        <v>42073</v>
      </c>
      <c r="G53" s="1">
        <v>3</v>
      </c>
      <c r="H53" s="1" t="s">
        <v>28</v>
      </c>
      <c r="I53" s="4" t="s">
        <v>72</v>
      </c>
    </row>
    <row r="54" spans="1:9">
      <c r="A54" s="12" t="s">
        <v>136</v>
      </c>
      <c r="B54" s="1" t="s">
        <v>50</v>
      </c>
      <c r="C54" s="1" t="s">
        <v>35</v>
      </c>
      <c r="D54" s="1" t="s">
        <v>42</v>
      </c>
      <c r="E54" s="1">
        <v>75633</v>
      </c>
      <c r="F54" s="11">
        <v>42074</v>
      </c>
      <c r="G54" s="1">
        <v>5</v>
      </c>
      <c r="H54" s="1" t="s">
        <v>36</v>
      </c>
      <c r="I54" s="4" t="s">
        <v>137</v>
      </c>
    </row>
    <row r="55" spans="1:9">
      <c r="A55" s="12" t="s">
        <v>138</v>
      </c>
      <c r="B55" s="1" t="s">
        <v>34</v>
      </c>
      <c r="C55" s="1"/>
      <c r="D55" s="1" t="s">
        <v>17</v>
      </c>
      <c r="E55" s="1">
        <v>74815</v>
      </c>
      <c r="F55" s="11">
        <v>42075</v>
      </c>
      <c r="G55" s="1">
        <v>5</v>
      </c>
      <c r="H55" s="1" t="s">
        <v>28</v>
      </c>
      <c r="I55" s="4" t="s">
        <v>139</v>
      </c>
    </row>
    <row r="56" spans="1:9">
      <c r="A56" s="12" t="s">
        <v>140</v>
      </c>
      <c r="B56" s="1" t="s">
        <v>15</v>
      </c>
      <c r="C56" s="1" t="s">
        <v>16</v>
      </c>
      <c r="D56" s="1" t="s">
        <v>63</v>
      </c>
      <c r="E56" s="1">
        <v>60011</v>
      </c>
      <c r="F56" s="11">
        <v>42076</v>
      </c>
      <c r="G56" s="1">
        <v>1</v>
      </c>
      <c r="H56" s="1" t="s">
        <v>18</v>
      </c>
      <c r="I56" s="4" t="s">
        <v>141</v>
      </c>
    </row>
    <row r="57" spans="1:9">
      <c r="A57" s="12" t="s">
        <v>142</v>
      </c>
      <c r="B57" s="2" t="s">
        <v>68</v>
      </c>
      <c r="C57" s="1"/>
      <c r="D57" s="1" t="s">
        <v>27</v>
      </c>
      <c r="E57" s="1">
        <v>96949</v>
      </c>
      <c r="F57" s="11">
        <v>42077</v>
      </c>
      <c r="G57" s="1">
        <v>3</v>
      </c>
      <c r="H57" s="1"/>
      <c r="I57" s="4" t="s">
        <v>86</v>
      </c>
    </row>
    <row r="58" spans="1:9">
      <c r="A58" s="12" t="s">
        <v>143</v>
      </c>
      <c r="B58" s="1" t="s">
        <v>32</v>
      </c>
      <c r="C58" s="2" t="s">
        <v>35</v>
      </c>
      <c r="D58" s="1"/>
      <c r="E58" s="1">
        <v>84924</v>
      </c>
      <c r="F58" s="11">
        <v>42078</v>
      </c>
      <c r="G58" s="1">
        <v>5</v>
      </c>
      <c r="H58" s="1" t="s">
        <v>18</v>
      </c>
      <c r="I58" s="4" t="s">
        <v>144</v>
      </c>
    </row>
    <row r="59" spans="1:9">
      <c r="A59" s="12" t="s">
        <v>145</v>
      </c>
      <c r="B59" s="1" t="s">
        <v>32</v>
      </c>
      <c r="C59" s="1" t="s">
        <v>11</v>
      </c>
      <c r="D59" s="1" t="s">
        <v>17</v>
      </c>
      <c r="E59" s="1">
        <v>82033</v>
      </c>
      <c r="F59" s="11">
        <v>42079</v>
      </c>
      <c r="G59" s="1">
        <v>1</v>
      </c>
      <c r="H59" s="1"/>
      <c r="I59" s="4" t="s">
        <v>121</v>
      </c>
    </row>
    <row r="60" spans="1:9">
      <c r="A60" s="12" t="s">
        <v>146</v>
      </c>
      <c r="B60" s="1"/>
      <c r="C60" s="1" t="s">
        <v>35</v>
      </c>
      <c r="D60" s="1" t="s">
        <v>12</v>
      </c>
      <c r="E60" s="1" t="s">
        <v>71</v>
      </c>
      <c r="F60" s="11">
        <v>42080</v>
      </c>
      <c r="G60" s="1">
        <v>5</v>
      </c>
      <c r="H60" s="1" t="s">
        <v>92</v>
      </c>
      <c r="I60" s="4" t="s">
        <v>147</v>
      </c>
    </row>
    <row r="61" spans="1:9">
      <c r="A61" s="12" t="s">
        <v>148</v>
      </c>
      <c r="B61" s="2" t="s">
        <v>68</v>
      </c>
      <c r="C61" s="1"/>
      <c r="D61" s="1" t="s">
        <v>63</v>
      </c>
      <c r="E61" s="1">
        <v>31499</v>
      </c>
      <c r="F61" s="11">
        <v>42081</v>
      </c>
      <c r="G61" s="1">
        <v>2</v>
      </c>
      <c r="H61" s="1"/>
      <c r="I61" s="4" t="s">
        <v>105</v>
      </c>
    </row>
    <row r="62" spans="1:9">
      <c r="A62" s="12" t="s">
        <v>149</v>
      </c>
      <c r="B62" s="1" t="s">
        <v>34</v>
      </c>
      <c r="C62" s="1" t="s">
        <v>26</v>
      </c>
      <c r="D62" s="1" t="s">
        <v>42</v>
      </c>
      <c r="E62" s="1">
        <v>97981</v>
      </c>
      <c r="F62" s="11">
        <v>42082</v>
      </c>
      <c r="G62" s="1">
        <v>5</v>
      </c>
      <c r="H62" s="1" t="s">
        <v>28</v>
      </c>
      <c r="I62" s="4" t="s">
        <v>150</v>
      </c>
    </row>
    <row r="63" spans="1:9">
      <c r="A63" s="12" t="s">
        <v>151</v>
      </c>
      <c r="B63" s="1" t="s">
        <v>68</v>
      </c>
      <c r="C63" s="1" t="s">
        <v>41</v>
      </c>
      <c r="D63" s="1" t="s">
        <v>17</v>
      </c>
      <c r="E63" s="1">
        <v>36541</v>
      </c>
      <c r="F63" s="11">
        <v>42083</v>
      </c>
      <c r="G63" s="1">
        <v>2</v>
      </c>
      <c r="H63" s="1" t="s">
        <v>36</v>
      </c>
      <c r="I63" s="4" t="s">
        <v>152</v>
      </c>
    </row>
    <row r="64" spans="1:9">
      <c r="A64" s="12" t="s">
        <v>153</v>
      </c>
      <c r="B64" s="1" t="s">
        <v>15</v>
      </c>
      <c r="C64" s="1" t="s">
        <v>26</v>
      </c>
      <c r="D64" s="1" t="s">
        <v>27</v>
      </c>
      <c r="E64" s="1">
        <v>84737</v>
      </c>
      <c r="F64" s="11">
        <v>42084</v>
      </c>
      <c r="G64" s="1">
        <v>1</v>
      </c>
      <c r="H64" s="1" t="s">
        <v>18</v>
      </c>
      <c r="I64" s="4" t="s">
        <v>154</v>
      </c>
    </row>
    <row r="65" spans="1:9">
      <c r="A65" s="12" t="s">
        <v>155</v>
      </c>
      <c r="B65" s="1" t="s">
        <v>32</v>
      </c>
      <c r="C65" s="1" t="s">
        <v>11</v>
      </c>
      <c r="D65" s="1" t="s">
        <v>27</v>
      </c>
      <c r="E65" s="1">
        <v>33468</v>
      </c>
      <c r="F65" s="11">
        <v>42085</v>
      </c>
      <c r="G65" s="1">
        <v>4</v>
      </c>
      <c r="H65" s="1" t="s">
        <v>18</v>
      </c>
      <c r="I65" s="4" t="s">
        <v>156</v>
      </c>
    </row>
    <row r="66" spans="1:9">
      <c r="A66" s="12" t="s">
        <v>157</v>
      </c>
      <c r="B66" s="2" t="s">
        <v>32</v>
      </c>
      <c r="C66" s="1"/>
      <c r="D66" s="1" t="s">
        <v>63</v>
      </c>
      <c r="E66" s="1">
        <v>96365</v>
      </c>
      <c r="F66" s="11">
        <v>42086</v>
      </c>
      <c r="G66" s="1">
        <v>3</v>
      </c>
      <c r="H66" s="1" t="s">
        <v>36</v>
      </c>
      <c r="I66" s="4" t="s">
        <v>158</v>
      </c>
    </row>
    <row r="67" spans="1:9">
      <c r="A67" s="12" t="s">
        <v>159</v>
      </c>
      <c r="B67" s="1" t="s">
        <v>10</v>
      </c>
      <c r="C67" s="1" t="s">
        <v>16</v>
      </c>
      <c r="D67" s="1" t="s">
        <v>27</v>
      </c>
      <c r="E67" s="1">
        <v>61942</v>
      </c>
      <c r="F67" s="11">
        <v>42087</v>
      </c>
      <c r="G67" s="1">
        <v>3</v>
      </c>
      <c r="H67" s="1" t="s">
        <v>28</v>
      </c>
      <c r="I67" s="4" t="s">
        <v>160</v>
      </c>
    </row>
    <row r="68" spans="1:9">
      <c r="A68" s="12" t="s">
        <v>161</v>
      </c>
      <c r="B68" s="1" t="s">
        <v>32</v>
      </c>
      <c r="C68" s="1" t="s">
        <v>11</v>
      </c>
      <c r="D68" s="1" t="s">
        <v>42</v>
      </c>
      <c r="E68" s="1">
        <v>41467</v>
      </c>
      <c r="F68" s="11">
        <v>42088</v>
      </c>
      <c r="G68" s="1">
        <v>2</v>
      </c>
      <c r="H68" s="1"/>
      <c r="I68" s="4" t="s">
        <v>74</v>
      </c>
    </row>
    <row r="69" spans="1:9">
      <c r="A69" s="12" t="s">
        <v>162</v>
      </c>
      <c r="B69" s="1" t="s">
        <v>50</v>
      </c>
      <c r="C69" s="1" t="s">
        <v>11</v>
      </c>
      <c r="D69" s="1" t="s">
        <v>27</v>
      </c>
      <c r="E69" s="1">
        <v>77096</v>
      </c>
      <c r="F69" s="11">
        <v>42089</v>
      </c>
      <c r="G69" s="1">
        <v>1</v>
      </c>
      <c r="H69" s="1"/>
      <c r="I69" s="4" t="s">
        <v>163</v>
      </c>
    </row>
    <row r="70" spans="1:9">
      <c r="A70" s="12" t="s">
        <v>164</v>
      </c>
      <c r="B70" s="1" t="s">
        <v>68</v>
      </c>
      <c r="C70" s="1" t="s">
        <v>16</v>
      </c>
      <c r="D70" s="1" t="s">
        <v>63</v>
      </c>
      <c r="E70" s="1">
        <v>69952</v>
      </c>
      <c r="F70" s="11">
        <v>42090</v>
      </c>
      <c r="G70" s="1">
        <v>5</v>
      </c>
      <c r="H70" s="1" t="s">
        <v>28</v>
      </c>
      <c r="I70" s="4" t="s">
        <v>103</v>
      </c>
    </row>
    <row r="71" spans="1:9">
      <c r="A71" s="12" t="s">
        <v>165</v>
      </c>
      <c r="B71" s="1" t="s">
        <v>68</v>
      </c>
      <c r="C71" s="1" t="s">
        <v>35</v>
      </c>
      <c r="D71" s="1" t="s">
        <v>17</v>
      </c>
      <c r="E71" s="1">
        <v>85065</v>
      </c>
      <c r="F71" s="11">
        <v>42091</v>
      </c>
      <c r="G71" s="1">
        <v>3</v>
      </c>
      <c r="H71" s="1"/>
      <c r="I71" s="4" t="s">
        <v>166</v>
      </c>
    </row>
    <row r="72" spans="1:9">
      <c r="A72" s="12" t="s">
        <v>167</v>
      </c>
      <c r="B72" s="1" t="s">
        <v>50</v>
      </c>
      <c r="C72" s="1" t="s">
        <v>35</v>
      </c>
      <c r="D72" s="1" t="s">
        <v>27</v>
      </c>
      <c r="E72" s="1">
        <v>56512</v>
      </c>
      <c r="F72" s="11">
        <v>42092</v>
      </c>
      <c r="G72" s="1"/>
      <c r="H72" s="1" t="s">
        <v>36</v>
      </c>
      <c r="I72" s="4" t="s">
        <v>43</v>
      </c>
    </row>
    <row r="73" spans="1:9">
      <c r="A73" s="12" t="s">
        <v>168</v>
      </c>
      <c r="B73" s="1" t="s">
        <v>15</v>
      </c>
      <c r="C73" s="1" t="s">
        <v>16</v>
      </c>
      <c r="D73" s="1" t="s">
        <v>27</v>
      </c>
      <c r="E73" s="1">
        <v>91101</v>
      </c>
      <c r="F73" s="11">
        <v>42093</v>
      </c>
      <c r="G73" s="1">
        <v>4</v>
      </c>
      <c r="H73" s="1" t="s">
        <v>28</v>
      </c>
      <c r="I73" s="4" t="s">
        <v>150</v>
      </c>
    </row>
    <row r="74" spans="1:9">
      <c r="A74" s="12" t="s">
        <v>169</v>
      </c>
      <c r="B74" s="2" t="s">
        <v>32</v>
      </c>
      <c r="C74" s="1"/>
      <c r="D74" s="1" t="s">
        <v>12</v>
      </c>
      <c r="E74" s="1">
        <v>41243</v>
      </c>
      <c r="F74" s="11">
        <v>42094</v>
      </c>
      <c r="G74" s="1"/>
      <c r="H74" s="1"/>
      <c r="I74" s="4" t="s">
        <v>95</v>
      </c>
    </row>
    <row r="75" spans="1:9">
      <c r="A75" s="12" t="s">
        <v>170</v>
      </c>
      <c r="B75" s="1"/>
      <c r="C75" s="1" t="s">
        <v>16</v>
      </c>
      <c r="D75" s="1"/>
      <c r="E75" s="1">
        <v>96142</v>
      </c>
      <c r="F75" s="11">
        <v>42095</v>
      </c>
      <c r="G75" s="1">
        <v>1</v>
      </c>
      <c r="H75" s="1" t="s">
        <v>36</v>
      </c>
      <c r="I75" s="4" t="s">
        <v>171</v>
      </c>
    </row>
    <row r="76" spans="1:9">
      <c r="A76" s="12" t="s">
        <v>172</v>
      </c>
      <c r="B76" s="1" t="s">
        <v>68</v>
      </c>
      <c r="C76" s="1" t="s">
        <v>26</v>
      </c>
      <c r="D76" s="1" t="s">
        <v>27</v>
      </c>
      <c r="E76" s="1">
        <v>94301</v>
      </c>
      <c r="F76" s="11">
        <v>42096</v>
      </c>
      <c r="G76" s="1">
        <v>1</v>
      </c>
      <c r="H76" s="1" t="s">
        <v>18</v>
      </c>
      <c r="I76" s="4" t="s">
        <v>121</v>
      </c>
    </row>
    <row r="77" spans="1:9">
      <c r="A77" s="12" t="s">
        <v>173</v>
      </c>
      <c r="B77" s="2" t="s">
        <v>23</v>
      </c>
      <c r="C77" s="1"/>
      <c r="D77" s="1" t="s">
        <v>42</v>
      </c>
      <c r="E77" s="1">
        <v>69166</v>
      </c>
      <c r="F77" s="11">
        <v>42097</v>
      </c>
      <c r="G77" s="1">
        <v>1</v>
      </c>
      <c r="H77" s="1" t="s">
        <v>28</v>
      </c>
      <c r="I77" s="4" t="s">
        <v>174</v>
      </c>
    </row>
    <row r="78" spans="1:9">
      <c r="A78" s="12" t="s">
        <v>175</v>
      </c>
      <c r="B78" s="2" t="s">
        <v>32</v>
      </c>
      <c r="C78" s="1"/>
      <c r="D78" s="1" t="s">
        <v>42</v>
      </c>
      <c r="E78" s="1">
        <v>78245</v>
      </c>
      <c r="F78" s="11">
        <v>42098</v>
      </c>
      <c r="G78" s="1">
        <v>2</v>
      </c>
      <c r="H78" s="1"/>
      <c r="I78" s="4" t="s">
        <v>176</v>
      </c>
    </row>
    <row r="79" spans="1:9">
      <c r="A79" s="12" t="s">
        <v>177</v>
      </c>
      <c r="B79" s="1" t="s">
        <v>34</v>
      </c>
      <c r="C79" s="1" t="s">
        <v>16</v>
      </c>
      <c r="D79" s="1" t="s">
        <v>17</v>
      </c>
      <c r="E79" s="1">
        <v>66079</v>
      </c>
      <c r="F79" s="11">
        <v>42099</v>
      </c>
      <c r="G79" s="1">
        <v>2</v>
      </c>
      <c r="H79" s="1" t="s">
        <v>36</v>
      </c>
      <c r="I79" s="4" t="s">
        <v>178</v>
      </c>
    </row>
    <row r="80" spans="1:9">
      <c r="A80" s="12" t="s">
        <v>179</v>
      </c>
      <c r="B80" s="1" t="s">
        <v>68</v>
      </c>
      <c r="C80" s="1" t="s">
        <v>35</v>
      </c>
      <c r="D80" s="1" t="s">
        <v>27</v>
      </c>
      <c r="E80" s="1" t="s">
        <v>71</v>
      </c>
      <c r="F80" s="11">
        <v>42100</v>
      </c>
      <c r="G80" s="1"/>
      <c r="H80" s="1"/>
      <c r="I80" s="4" t="s">
        <v>88</v>
      </c>
    </row>
    <row r="81" spans="1:9">
      <c r="A81" s="12" t="s">
        <v>180</v>
      </c>
      <c r="B81" s="1" t="s">
        <v>23</v>
      </c>
      <c r="C81" s="1" t="s">
        <v>16</v>
      </c>
      <c r="D81" s="1" t="s">
        <v>17</v>
      </c>
      <c r="E81" s="1">
        <v>95621</v>
      </c>
      <c r="F81" s="11">
        <v>42101</v>
      </c>
      <c r="G81" s="1">
        <v>3</v>
      </c>
      <c r="H81" s="1" t="s">
        <v>28</v>
      </c>
      <c r="I81" s="4" t="s">
        <v>181</v>
      </c>
    </row>
    <row r="82" spans="1:9">
      <c r="A82" s="12" t="s">
        <v>182</v>
      </c>
      <c r="B82" s="1" t="s">
        <v>68</v>
      </c>
      <c r="C82" s="1" t="s">
        <v>26</v>
      </c>
      <c r="D82" s="1" t="s">
        <v>42</v>
      </c>
      <c r="E82" s="1">
        <v>42262</v>
      </c>
      <c r="F82" s="11">
        <v>42102</v>
      </c>
      <c r="G82" s="1">
        <v>1</v>
      </c>
      <c r="H82" s="1"/>
      <c r="I82" s="4" t="s">
        <v>183</v>
      </c>
    </row>
    <row r="83" spans="1:9">
      <c r="A83" s="12" t="s">
        <v>184</v>
      </c>
      <c r="B83" s="1" t="s">
        <v>32</v>
      </c>
      <c r="C83" s="1" t="s">
        <v>16</v>
      </c>
      <c r="D83" s="1" t="s">
        <v>27</v>
      </c>
      <c r="E83" s="1">
        <v>99621</v>
      </c>
      <c r="F83" s="11">
        <v>42103</v>
      </c>
      <c r="G83" s="1"/>
      <c r="H83" s="1" t="s">
        <v>36</v>
      </c>
      <c r="I83" s="4" t="s">
        <v>185</v>
      </c>
    </row>
    <row r="84" spans="1:9">
      <c r="A84" s="12" t="s">
        <v>186</v>
      </c>
      <c r="B84" s="1" t="s">
        <v>15</v>
      </c>
      <c r="C84" s="1" t="s">
        <v>35</v>
      </c>
      <c r="D84" s="1" t="s">
        <v>27</v>
      </c>
      <c r="E84" s="1">
        <v>44682</v>
      </c>
      <c r="F84" s="11">
        <v>42104</v>
      </c>
      <c r="G84" s="1">
        <v>4</v>
      </c>
      <c r="H84" s="1" t="s">
        <v>28</v>
      </c>
      <c r="I84" s="4" t="s">
        <v>115</v>
      </c>
    </row>
    <row r="85" spans="1:9">
      <c r="A85" s="12" t="s">
        <v>187</v>
      </c>
      <c r="B85" s="1" t="s">
        <v>34</v>
      </c>
      <c r="C85" s="1" t="s">
        <v>11</v>
      </c>
      <c r="D85" s="1"/>
      <c r="E85" s="1">
        <v>35163</v>
      </c>
      <c r="F85" s="11">
        <v>42105</v>
      </c>
      <c r="G85" s="1">
        <v>5</v>
      </c>
      <c r="H85" s="1" t="s">
        <v>36</v>
      </c>
      <c r="I85" s="4" t="s">
        <v>188</v>
      </c>
    </row>
    <row r="86" spans="1:9">
      <c r="A86" s="12" t="s">
        <v>189</v>
      </c>
      <c r="B86" s="1" t="s">
        <v>34</v>
      </c>
      <c r="C86" s="1" t="s">
        <v>26</v>
      </c>
      <c r="D86" s="1" t="s">
        <v>27</v>
      </c>
      <c r="E86" s="1">
        <v>33483</v>
      </c>
      <c r="F86" s="11">
        <v>42106</v>
      </c>
      <c r="G86" s="1">
        <v>4</v>
      </c>
      <c r="H86" s="1" t="s">
        <v>18</v>
      </c>
      <c r="I86" s="4" t="s">
        <v>190</v>
      </c>
    </row>
    <row r="87" spans="1:9">
      <c r="A87" s="12" t="s">
        <v>191</v>
      </c>
      <c r="B87" s="1" t="s">
        <v>32</v>
      </c>
      <c r="C87" s="1" t="s">
        <v>41</v>
      </c>
      <c r="D87" s="1" t="s">
        <v>12</v>
      </c>
      <c r="E87" s="1">
        <v>55303</v>
      </c>
      <c r="F87" s="11">
        <v>42107</v>
      </c>
      <c r="G87" s="1">
        <v>4</v>
      </c>
      <c r="H87" s="1" t="s">
        <v>18</v>
      </c>
      <c r="I87" s="4" t="s">
        <v>78</v>
      </c>
    </row>
    <row r="88" spans="1:9">
      <c r="A88" s="12" t="s">
        <v>192</v>
      </c>
      <c r="B88" s="9" t="s">
        <v>34</v>
      </c>
      <c r="C88" s="1" t="s">
        <v>26</v>
      </c>
      <c r="D88" s="1"/>
      <c r="E88" s="1">
        <v>63434</v>
      </c>
      <c r="F88" s="11">
        <v>42108</v>
      </c>
      <c r="G88" s="1">
        <v>3</v>
      </c>
      <c r="H88" s="1"/>
      <c r="I88" s="4" t="s">
        <v>193</v>
      </c>
    </row>
    <row r="89" spans="1:9">
      <c r="A89" s="15" t="s">
        <v>194</v>
      </c>
      <c r="B89" s="14" t="s">
        <v>23</v>
      </c>
      <c r="C89" s="3"/>
      <c r="D89" s="1" t="s">
        <v>63</v>
      </c>
      <c r="E89" s="1">
        <v>38830</v>
      </c>
      <c r="F89" s="11">
        <v>42109</v>
      </c>
      <c r="G89" s="1">
        <v>3</v>
      </c>
      <c r="H89" s="1" t="s">
        <v>36</v>
      </c>
      <c r="I89" s="4" t="s">
        <v>78</v>
      </c>
    </row>
    <row r="90" spans="1:9">
      <c r="A90" s="12" t="s">
        <v>195</v>
      </c>
      <c r="B90" s="6"/>
      <c r="C90" s="1" t="s">
        <v>35</v>
      </c>
      <c r="D90" s="1" t="s">
        <v>42</v>
      </c>
      <c r="E90" s="1">
        <v>50741</v>
      </c>
      <c r="F90" s="11">
        <v>42110</v>
      </c>
      <c r="G90" s="1">
        <v>3</v>
      </c>
      <c r="H90" s="1" t="s">
        <v>92</v>
      </c>
      <c r="I90" s="4" t="s">
        <v>163</v>
      </c>
    </row>
    <row r="91" spans="1:9">
      <c r="A91" s="12" t="s">
        <v>196</v>
      </c>
      <c r="B91" s="1" t="s">
        <v>10</v>
      </c>
      <c r="C91" s="1" t="s">
        <v>41</v>
      </c>
      <c r="D91" s="1" t="s">
        <v>63</v>
      </c>
      <c r="E91" s="1">
        <v>69420</v>
      </c>
      <c r="F91" s="11">
        <v>42111</v>
      </c>
      <c r="G91" s="1">
        <v>1</v>
      </c>
      <c r="H91" s="1" t="s">
        <v>18</v>
      </c>
      <c r="I91" s="4" t="s">
        <v>126</v>
      </c>
    </row>
    <row r="92" spans="1:9">
      <c r="A92" s="12" t="s">
        <v>197</v>
      </c>
      <c r="B92" s="1" t="s">
        <v>23</v>
      </c>
      <c r="C92" s="1" t="s">
        <v>26</v>
      </c>
      <c r="D92" s="1"/>
      <c r="E92" s="1">
        <v>80588</v>
      </c>
      <c r="F92" s="11">
        <v>42112</v>
      </c>
      <c r="G92" s="1">
        <v>5</v>
      </c>
      <c r="H92" s="1" t="s">
        <v>18</v>
      </c>
      <c r="I92" s="4" t="s">
        <v>107</v>
      </c>
    </row>
    <row r="93" spans="1:9">
      <c r="A93" s="12" t="s">
        <v>198</v>
      </c>
      <c r="B93" s="2" t="s">
        <v>10</v>
      </c>
      <c r="C93" s="1"/>
      <c r="D93" s="1" t="s">
        <v>17</v>
      </c>
      <c r="E93" s="1">
        <v>76238</v>
      </c>
      <c r="F93" s="11">
        <v>42113</v>
      </c>
      <c r="G93" s="1">
        <v>4</v>
      </c>
      <c r="H93" s="1" t="s">
        <v>18</v>
      </c>
      <c r="I93" s="4" t="s">
        <v>199</v>
      </c>
    </row>
    <row r="94" spans="1:9">
      <c r="A94" s="12" t="s">
        <v>200</v>
      </c>
      <c r="B94" s="1" t="s">
        <v>50</v>
      </c>
      <c r="C94" s="1" t="s">
        <v>26</v>
      </c>
      <c r="D94" s="1" t="s">
        <v>27</v>
      </c>
      <c r="E94" s="1">
        <v>33264</v>
      </c>
      <c r="F94" s="11">
        <v>42114</v>
      </c>
      <c r="G94" s="1"/>
      <c r="H94" s="1" t="s">
        <v>28</v>
      </c>
      <c r="I94" s="4" t="s">
        <v>201</v>
      </c>
    </row>
    <row r="95" spans="1:9">
      <c r="A95" s="12" t="s">
        <v>202</v>
      </c>
      <c r="B95" s="1" t="s">
        <v>10</v>
      </c>
      <c r="C95" s="1" t="s">
        <v>11</v>
      </c>
      <c r="D95" s="1" t="s">
        <v>63</v>
      </c>
      <c r="E95" s="1">
        <v>96101</v>
      </c>
      <c r="F95" s="11">
        <v>42115</v>
      </c>
      <c r="G95" s="1"/>
      <c r="H95" s="1" t="s">
        <v>36</v>
      </c>
      <c r="I95" s="4" t="s">
        <v>203</v>
      </c>
    </row>
    <row r="96" spans="1:9">
      <c r="A96" s="12" t="s">
        <v>204</v>
      </c>
      <c r="B96" s="1" t="s">
        <v>23</v>
      </c>
      <c r="C96" s="1" t="s">
        <v>11</v>
      </c>
      <c r="D96" s="1" t="s">
        <v>17</v>
      </c>
      <c r="E96" s="1">
        <v>72939</v>
      </c>
      <c r="F96" s="11">
        <v>42116</v>
      </c>
      <c r="G96" s="1">
        <v>3</v>
      </c>
      <c r="H96" s="1"/>
      <c r="I96" s="4" t="s">
        <v>205</v>
      </c>
    </row>
    <row r="97" spans="1:9">
      <c r="A97" s="12" t="s">
        <v>206</v>
      </c>
      <c r="B97" s="1" t="s">
        <v>32</v>
      </c>
      <c r="C97" s="1" t="s">
        <v>41</v>
      </c>
      <c r="D97" s="1" t="s">
        <v>12</v>
      </c>
      <c r="E97" s="1">
        <v>89333</v>
      </c>
      <c r="F97" s="11">
        <v>42117</v>
      </c>
      <c r="G97" s="1">
        <v>1</v>
      </c>
      <c r="H97" s="1" t="s">
        <v>18</v>
      </c>
      <c r="I97" s="4" t="s">
        <v>207</v>
      </c>
    </row>
    <row r="98" spans="1:9">
      <c r="A98" s="12" t="s">
        <v>208</v>
      </c>
      <c r="B98" s="1" t="s">
        <v>50</v>
      </c>
      <c r="C98" s="1" t="s">
        <v>26</v>
      </c>
      <c r="D98" s="1" t="s">
        <v>63</v>
      </c>
      <c r="E98" s="1">
        <v>70470</v>
      </c>
      <c r="F98" s="11">
        <v>42118</v>
      </c>
      <c r="G98" s="1"/>
      <c r="H98" s="1" t="s">
        <v>18</v>
      </c>
      <c r="I98" s="4" t="s">
        <v>209</v>
      </c>
    </row>
    <row r="99" spans="1:9">
      <c r="A99" s="12" t="s">
        <v>210</v>
      </c>
      <c r="B99" s="1" t="s">
        <v>68</v>
      </c>
      <c r="C99" s="1" t="s">
        <v>35</v>
      </c>
      <c r="D99" s="1" t="s">
        <v>17</v>
      </c>
      <c r="E99" s="1">
        <v>70096</v>
      </c>
      <c r="F99" s="11">
        <v>42119</v>
      </c>
      <c r="G99" s="1">
        <v>4</v>
      </c>
      <c r="H99" s="1" t="s">
        <v>18</v>
      </c>
      <c r="I99" s="4" t="s">
        <v>211</v>
      </c>
    </row>
    <row r="100" spans="1:9">
      <c r="A100" s="12" t="s">
        <v>212</v>
      </c>
      <c r="B100" s="1" t="s">
        <v>50</v>
      </c>
      <c r="C100" s="1" t="s">
        <v>35</v>
      </c>
      <c r="D100" s="1"/>
      <c r="E100" s="1" t="s">
        <v>71</v>
      </c>
      <c r="F100" s="11">
        <v>42120</v>
      </c>
      <c r="G100" s="1">
        <v>2</v>
      </c>
      <c r="H100" s="1" t="s">
        <v>36</v>
      </c>
      <c r="I100" s="4" t="s">
        <v>213</v>
      </c>
    </row>
    <row r="101" spans="1:9">
      <c r="A101" s="12" t="s">
        <v>214</v>
      </c>
      <c r="B101" s="1" t="s">
        <v>50</v>
      </c>
      <c r="C101" s="1" t="s">
        <v>26</v>
      </c>
      <c r="D101" s="1" t="s">
        <v>12</v>
      </c>
      <c r="E101" s="1">
        <v>66503</v>
      </c>
      <c r="F101" s="11">
        <v>42121</v>
      </c>
      <c r="G101" s="1"/>
      <c r="H101" s="1" t="s">
        <v>18</v>
      </c>
      <c r="I101" s="4" t="s">
        <v>72</v>
      </c>
    </row>
    <row r="102" spans="1:9">
      <c r="A102" s="12" t="s">
        <v>215</v>
      </c>
      <c r="B102" s="1" t="s">
        <v>10</v>
      </c>
      <c r="C102" s="1" t="s">
        <v>41</v>
      </c>
      <c r="D102" s="1" t="s">
        <v>12</v>
      </c>
      <c r="E102" s="1">
        <v>42096</v>
      </c>
      <c r="F102" s="11">
        <v>42122</v>
      </c>
      <c r="G102" s="1"/>
      <c r="H102" s="1" t="s">
        <v>28</v>
      </c>
      <c r="I102" s="4" t="s">
        <v>216</v>
      </c>
    </row>
    <row r="103" spans="1:9">
      <c r="A103" s="12" t="s">
        <v>217</v>
      </c>
      <c r="B103" s="1" t="s">
        <v>10</v>
      </c>
      <c r="C103" s="2" t="s">
        <v>35</v>
      </c>
      <c r="D103" s="1"/>
      <c r="E103" s="1">
        <v>79145</v>
      </c>
      <c r="F103" s="11">
        <v>42123</v>
      </c>
      <c r="G103" s="1">
        <v>5</v>
      </c>
      <c r="H103" s="1" t="s">
        <v>36</v>
      </c>
      <c r="I103" s="4" t="s">
        <v>121</v>
      </c>
    </row>
    <row r="104" spans="1:9">
      <c r="A104" s="12" t="s">
        <v>218</v>
      </c>
      <c r="B104" s="2" t="s">
        <v>23</v>
      </c>
      <c r="C104" s="1"/>
      <c r="D104" s="1" t="s">
        <v>63</v>
      </c>
      <c r="E104" s="1">
        <v>61556</v>
      </c>
      <c r="F104" s="11">
        <v>42124</v>
      </c>
      <c r="G104" s="1">
        <v>1</v>
      </c>
      <c r="H104" s="1"/>
      <c r="I104" s="4" t="s">
        <v>213</v>
      </c>
    </row>
    <row r="105" spans="1:9">
      <c r="A105" s="12" t="s">
        <v>219</v>
      </c>
      <c r="B105" s="1"/>
      <c r="C105" s="1" t="s">
        <v>41</v>
      </c>
      <c r="D105" s="1" t="s">
        <v>42</v>
      </c>
      <c r="E105" s="1">
        <v>87963</v>
      </c>
      <c r="F105" s="11">
        <v>42125</v>
      </c>
      <c r="G105" s="1">
        <v>3</v>
      </c>
      <c r="H105" s="1" t="s">
        <v>36</v>
      </c>
      <c r="I105" s="4" t="s">
        <v>103</v>
      </c>
    </row>
    <row r="106" spans="1:9">
      <c r="A106" s="12" t="s">
        <v>220</v>
      </c>
      <c r="B106" s="1" t="s">
        <v>68</v>
      </c>
      <c r="C106" s="1" t="s">
        <v>26</v>
      </c>
      <c r="D106" s="1"/>
      <c r="E106" s="1">
        <v>48325</v>
      </c>
      <c r="F106" s="11">
        <v>42126</v>
      </c>
      <c r="G106" s="1"/>
      <c r="H106" s="1" t="s">
        <v>18</v>
      </c>
      <c r="I106" s="4" t="s">
        <v>221</v>
      </c>
    </row>
    <row r="107" spans="1:9">
      <c r="A107" s="12" t="s">
        <v>222</v>
      </c>
      <c r="B107" s="1" t="s">
        <v>32</v>
      </c>
      <c r="C107" s="1" t="s">
        <v>35</v>
      </c>
      <c r="D107" s="1" t="s">
        <v>63</v>
      </c>
      <c r="E107" s="1">
        <v>86412</v>
      </c>
      <c r="F107" s="11">
        <v>42127</v>
      </c>
      <c r="G107" s="1">
        <v>2</v>
      </c>
      <c r="H107" s="1" t="s">
        <v>28</v>
      </c>
      <c r="I107" s="4" t="s">
        <v>76</v>
      </c>
    </row>
    <row r="108" spans="1:9">
      <c r="A108" s="12" t="s">
        <v>223</v>
      </c>
      <c r="B108" s="1" t="s">
        <v>32</v>
      </c>
      <c r="C108" s="1" t="s">
        <v>41</v>
      </c>
      <c r="D108" s="1"/>
      <c r="E108" s="1">
        <v>66761</v>
      </c>
      <c r="F108" s="11">
        <v>42128</v>
      </c>
      <c r="G108" s="1">
        <v>1</v>
      </c>
      <c r="H108" s="1"/>
      <c r="I108" s="4" t="s">
        <v>224</v>
      </c>
    </row>
    <row r="109" spans="1:9">
      <c r="A109" s="12" t="s">
        <v>225</v>
      </c>
      <c r="B109" s="2" t="s">
        <v>23</v>
      </c>
      <c r="C109" s="1"/>
      <c r="D109" s="1" t="s">
        <v>27</v>
      </c>
      <c r="E109" s="1">
        <v>88850</v>
      </c>
      <c r="F109" s="11">
        <v>42129</v>
      </c>
      <c r="G109" s="1">
        <v>1</v>
      </c>
      <c r="H109" s="1" t="s">
        <v>28</v>
      </c>
      <c r="I109" s="4" t="s">
        <v>226</v>
      </c>
    </row>
    <row r="110" spans="1:9">
      <c r="A110" s="12" t="s">
        <v>227</v>
      </c>
      <c r="B110" s="1" t="s">
        <v>34</v>
      </c>
      <c r="C110" s="1" t="s">
        <v>16</v>
      </c>
      <c r="D110" s="1" t="s">
        <v>27</v>
      </c>
      <c r="E110" s="1">
        <v>31293</v>
      </c>
      <c r="F110" s="11">
        <v>42130</v>
      </c>
      <c r="G110" s="1">
        <v>2</v>
      </c>
      <c r="H110" s="1" t="s">
        <v>28</v>
      </c>
      <c r="I110" s="4" t="s">
        <v>228</v>
      </c>
    </row>
    <row r="111" spans="1:9">
      <c r="A111" s="12" t="s">
        <v>229</v>
      </c>
      <c r="B111" s="1" t="s">
        <v>34</v>
      </c>
      <c r="C111" s="1" t="s">
        <v>26</v>
      </c>
      <c r="D111" s="1" t="s">
        <v>17</v>
      </c>
      <c r="E111" s="1">
        <v>34306</v>
      </c>
      <c r="F111" s="11">
        <v>42131</v>
      </c>
      <c r="G111" s="1">
        <v>5</v>
      </c>
      <c r="H111" s="1" t="s">
        <v>28</v>
      </c>
      <c r="I111" s="4" t="s">
        <v>160</v>
      </c>
    </row>
    <row r="112" spans="1:9">
      <c r="A112" s="12" t="s">
        <v>230</v>
      </c>
      <c r="B112" s="1" t="s">
        <v>68</v>
      </c>
      <c r="C112" s="1" t="s">
        <v>11</v>
      </c>
      <c r="D112" s="1" t="s">
        <v>27</v>
      </c>
      <c r="E112" s="1">
        <v>78330</v>
      </c>
      <c r="F112" s="11">
        <v>42132</v>
      </c>
      <c r="G112" s="1"/>
      <c r="H112" s="1" t="s">
        <v>36</v>
      </c>
      <c r="I112" s="4" t="s">
        <v>211</v>
      </c>
    </row>
    <row r="113" spans="1:9">
      <c r="A113" s="12" t="s">
        <v>231</v>
      </c>
      <c r="B113" s="1" t="s">
        <v>10</v>
      </c>
      <c r="C113" s="1" t="s">
        <v>26</v>
      </c>
      <c r="D113" s="1" t="s">
        <v>17</v>
      </c>
      <c r="E113" s="1">
        <v>47653</v>
      </c>
      <c r="F113" s="11">
        <v>42133</v>
      </c>
      <c r="G113" s="1">
        <v>1</v>
      </c>
      <c r="H113" s="1" t="s">
        <v>18</v>
      </c>
      <c r="I113" s="4" t="s">
        <v>232</v>
      </c>
    </row>
    <row r="114" spans="1:9">
      <c r="A114" s="12" t="s">
        <v>233</v>
      </c>
      <c r="B114" s="1" t="s">
        <v>68</v>
      </c>
      <c r="C114" s="1" t="s">
        <v>35</v>
      </c>
      <c r="D114" s="1" t="s">
        <v>42</v>
      </c>
      <c r="E114" s="1">
        <v>44627</v>
      </c>
      <c r="F114" s="11">
        <v>42134</v>
      </c>
      <c r="G114" s="1">
        <v>4</v>
      </c>
      <c r="H114" s="1"/>
      <c r="I114" s="4" t="s">
        <v>152</v>
      </c>
    </row>
    <row r="115" spans="1:9">
      <c r="A115" s="12" t="s">
        <v>234</v>
      </c>
      <c r="B115" s="1" t="s">
        <v>50</v>
      </c>
      <c r="C115" s="1" t="s">
        <v>41</v>
      </c>
      <c r="D115" s="1" t="s">
        <v>12</v>
      </c>
      <c r="E115" s="1">
        <v>92343</v>
      </c>
      <c r="F115" s="11">
        <v>42135</v>
      </c>
      <c r="G115" s="1">
        <v>4</v>
      </c>
      <c r="H115" s="1" t="s">
        <v>28</v>
      </c>
      <c r="I115" s="4" t="s">
        <v>78</v>
      </c>
    </row>
    <row r="116" spans="1:9">
      <c r="A116" s="12" t="s">
        <v>235</v>
      </c>
      <c r="B116" s="1" t="s">
        <v>50</v>
      </c>
      <c r="C116" s="1" t="s">
        <v>35</v>
      </c>
      <c r="D116" s="1" t="s">
        <v>63</v>
      </c>
      <c r="E116" s="1">
        <v>38837</v>
      </c>
      <c r="F116" s="11">
        <v>42136</v>
      </c>
      <c r="G116" s="1">
        <v>5</v>
      </c>
      <c r="H116" s="1" t="s">
        <v>28</v>
      </c>
      <c r="I116" s="4" t="s">
        <v>160</v>
      </c>
    </row>
    <row r="117" spans="1:9">
      <c r="A117" s="12" t="s">
        <v>236</v>
      </c>
      <c r="B117" s="1" t="s">
        <v>50</v>
      </c>
      <c r="C117" s="2" t="s">
        <v>35</v>
      </c>
      <c r="D117" s="1"/>
      <c r="E117" s="1">
        <v>73483</v>
      </c>
      <c r="F117" s="11">
        <v>42137</v>
      </c>
      <c r="G117" s="1">
        <v>1</v>
      </c>
      <c r="H117" s="1"/>
      <c r="I117" s="4" t="s">
        <v>237</v>
      </c>
    </row>
    <row r="118" spans="1:9">
      <c r="A118" s="12" t="s">
        <v>238</v>
      </c>
      <c r="B118" s="1" t="s">
        <v>34</v>
      </c>
      <c r="C118" s="1" t="s">
        <v>16</v>
      </c>
      <c r="D118" s="1" t="s">
        <v>27</v>
      </c>
      <c r="E118" s="1">
        <v>95032</v>
      </c>
      <c r="F118" s="11">
        <v>42138</v>
      </c>
      <c r="G118" s="1">
        <v>3</v>
      </c>
      <c r="H118" s="1"/>
      <c r="I118" s="4" t="s">
        <v>239</v>
      </c>
    </row>
    <row r="119" spans="1:9">
      <c r="A119" s="12" t="s">
        <v>240</v>
      </c>
      <c r="B119" s="1" t="s">
        <v>68</v>
      </c>
      <c r="C119" s="1" t="s">
        <v>16</v>
      </c>
      <c r="D119" s="1" t="s">
        <v>63</v>
      </c>
      <c r="E119" s="1">
        <v>44358</v>
      </c>
      <c r="F119" s="11">
        <v>42139</v>
      </c>
      <c r="G119" s="1"/>
      <c r="H119" s="1" t="s">
        <v>28</v>
      </c>
      <c r="I119" s="4" t="s">
        <v>72</v>
      </c>
    </row>
    <row r="120" spans="1:9">
      <c r="A120" s="12" t="s">
        <v>241</v>
      </c>
      <c r="B120" s="1"/>
      <c r="C120" s="1" t="s">
        <v>26</v>
      </c>
      <c r="D120" s="1" t="s">
        <v>17</v>
      </c>
      <c r="E120" s="1" t="s">
        <v>71</v>
      </c>
      <c r="F120" s="11">
        <v>42140</v>
      </c>
      <c r="G120" s="1">
        <v>5</v>
      </c>
      <c r="H120" s="1" t="s">
        <v>92</v>
      </c>
      <c r="I120" s="4" t="s">
        <v>242</v>
      </c>
    </row>
    <row r="121" spans="1:9">
      <c r="A121" s="12" t="s">
        <v>243</v>
      </c>
      <c r="B121" s="1" t="s">
        <v>34</v>
      </c>
      <c r="C121" s="1" t="s">
        <v>16</v>
      </c>
      <c r="D121" s="1" t="s">
        <v>17</v>
      </c>
      <c r="E121" s="1">
        <v>45676</v>
      </c>
      <c r="F121" s="11">
        <v>42141</v>
      </c>
      <c r="G121" s="1">
        <v>2</v>
      </c>
      <c r="H121" s="1"/>
      <c r="I121" s="4" t="s">
        <v>244</v>
      </c>
    </row>
    <row r="122" spans="1:9">
      <c r="A122" s="12" t="s">
        <v>245</v>
      </c>
      <c r="B122" s="1" t="s">
        <v>50</v>
      </c>
      <c r="C122" s="1" t="s">
        <v>16</v>
      </c>
      <c r="D122" s="1" t="s">
        <v>12</v>
      </c>
      <c r="E122" s="1">
        <v>52036</v>
      </c>
      <c r="F122" s="11">
        <v>42142</v>
      </c>
      <c r="G122" s="1">
        <v>3</v>
      </c>
      <c r="H122" s="1" t="s">
        <v>18</v>
      </c>
      <c r="I122" s="4" t="s">
        <v>246</v>
      </c>
    </row>
    <row r="123" spans="1:9">
      <c r="A123" s="12" t="s">
        <v>247</v>
      </c>
      <c r="B123" s="2" t="s">
        <v>23</v>
      </c>
      <c r="C123" s="1"/>
      <c r="D123" s="1" t="s">
        <v>12</v>
      </c>
      <c r="E123" s="1">
        <v>30357</v>
      </c>
      <c r="F123" s="11">
        <v>42143</v>
      </c>
      <c r="G123" s="1">
        <v>5</v>
      </c>
      <c r="H123" s="1" t="s">
        <v>18</v>
      </c>
      <c r="I123" s="4" t="s">
        <v>185</v>
      </c>
    </row>
    <row r="124" spans="1:9">
      <c r="A124" s="12" t="s">
        <v>248</v>
      </c>
      <c r="B124" s="1" t="s">
        <v>15</v>
      </c>
      <c r="C124" s="1" t="s">
        <v>26</v>
      </c>
      <c r="D124" s="1"/>
      <c r="E124" s="1">
        <v>60034</v>
      </c>
      <c r="F124" s="11">
        <v>42144</v>
      </c>
      <c r="G124" s="1">
        <v>1</v>
      </c>
      <c r="H124" s="1" t="s">
        <v>28</v>
      </c>
      <c r="I124" s="4" t="s">
        <v>249</v>
      </c>
    </row>
    <row r="125" spans="1:9">
      <c r="A125" s="12" t="s">
        <v>250</v>
      </c>
      <c r="B125" s="1" t="s">
        <v>15</v>
      </c>
      <c r="C125" s="1" t="s">
        <v>11</v>
      </c>
      <c r="D125" s="1"/>
      <c r="E125" s="1">
        <v>90019</v>
      </c>
      <c r="F125" s="11">
        <v>42145</v>
      </c>
      <c r="G125" s="1">
        <v>5</v>
      </c>
      <c r="H125" s="1"/>
      <c r="I125" s="4" t="s">
        <v>251</v>
      </c>
    </row>
    <row r="126" spans="1:9">
      <c r="A126" s="12" t="s">
        <v>252</v>
      </c>
      <c r="B126" s="2" t="s">
        <v>50</v>
      </c>
      <c r="C126" s="1"/>
      <c r="D126" s="1" t="s">
        <v>12</v>
      </c>
      <c r="E126" s="1">
        <v>71494</v>
      </c>
      <c r="F126" s="11">
        <v>42146</v>
      </c>
      <c r="G126" s="1">
        <v>3</v>
      </c>
      <c r="H126" s="1" t="s">
        <v>18</v>
      </c>
      <c r="I126" s="4" t="s">
        <v>253</v>
      </c>
    </row>
    <row r="127" spans="1:9">
      <c r="A127" s="12" t="s">
        <v>254</v>
      </c>
      <c r="B127" s="1" t="s">
        <v>15</v>
      </c>
      <c r="C127" s="1" t="s">
        <v>11</v>
      </c>
      <c r="D127" s="1" t="s">
        <v>17</v>
      </c>
      <c r="E127" s="1">
        <v>91953</v>
      </c>
      <c r="F127" s="11">
        <v>42147</v>
      </c>
      <c r="G127" s="1">
        <v>2</v>
      </c>
      <c r="H127" s="1" t="s">
        <v>18</v>
      </c>
      <c r="I127" s="4" t="s">
        <v>90</v>
      </c>
    </row>
    <row r="128" spans="1:9">
      <c r="A128" s="12" t="s">
        <v>255</v>
      </c>
      <c r="B128" s="1" t="s">
        <v>34</v>
      </c>
      <c r="C128" s="1" t="s">
        <v>16</v>
      </c>
      <c r="D128" s="1" t="s">
        <v>17</v>
      </c>
      <c r="E128" s="1">
        <v>30402</v>
      </c>
      <c r="F128" s="11">
        <v>42148</v>
      </c>
      <c r="G128" s="1">
        <v>1</v>
      </c>
      <c r="H128" s="1"/>
      <c r="I128" s="4" t="s">
        <v>256</v>
      </c>
    </row>
    <row r="129" spans="1:9">
      <c r="A129" s="12" t="s">
        <v>257</v>
      </c>
      <c r="B129" s="2" t="s">
        <v>50</v>
      </c>
      <c r="C129" s="1"/>
      <c r="D129" s="1" t="s">
        <v>42</v>
      </c>
      <c r="E129" s="1">
        <v>62994</v>
      </c>
      <c r="F129" s="11">
        <v>42149</v>
      </c>
      <c r="G129" s="1"/>
      <c r="H129" s="1"/>
      <c r="I129" s="4" t="s">
        <v>117</v>
      </c>
    </row>
    <row r="130" spans="1:9">
      <c r="A130" s="12" t="s">
        <v>258</v>
      </c>
      <c r="B130" s="1" t="s">
        <v>10</v>
      </c>
      <c r="C130" s="1" t="s">
        <v>16</v>
      </c>
      <c r="D130" s="1" t="s">
        <v>27</v>
      </c>
      <c r="E130" s="1">
        <v>48289</v>
      </c>
      <c r="F130" s="11">
        <v>42150</v>
      </c>
      <c r="G130" s="1">
        <v>3</v>
      </c>
      <c r="H130" s="1" t="s">
        <v>18</v>
      </c>
      <c r="I130" s="4" t="s">
        <v>39</v>
      </c>
    </row>
    <row r="131" spans="1:9">
      <c r="A131" s="12" t="s">
        <v>259</v>
      </c>
      <c r="B131" s="1" t="s">
        <v>32</v>
      </c>
      <c r="C131" s="1" t="s">
        <v>35</v>
      </c>
      <c r="D131" s="1" t="s">
        <v>12</v>
      </c>
      <c r="E131" s="1">
        <v>34402</v>
      </c>
      <c r="F131" s="11">
        <v>42151</v>
      </c>
      <c r="G131" s="1">
        <v>3</v>
      </c>
      <c r="H131" s="1" t="s">
        <v>36</v>
      </c>
      <c r="I131" s="4" t="s">
        <v>111</v>
      </c>
    </row>
    <row r="132" spans="1:9">
      <c r="A132" s="12" t="s">
        <v>260</v>
      </c>
      <c r="B132" s="1" t="s">
        <v>68</v>
      </c>
      <c r="C132" s="1" t="s">
        <v>41</v>
      </c>
      <c r="D132" s="1" t="s">
        <v>17</v>
      </c>
      <c r="E132" s="1">
        <v>38678</v>
      </c>
      <c r="F132" s="11">
        <v>42152</v>
      </c>
      <c r="G132" s="1">
        <v>3</v>
      </c>
      <c r="H132" s="1" t="s">
        <v>36</v>
      </c>
      <c r="I132" s="4" t="s">
        <v>261</v>
      </c>
    </row>
    <row r="133" spans="1:9">
      <c r="A133" s="12" t="s">
        <v>262</v>
      </c>
      <c r="B133" s="1" t="s">
        <v>34</v>
      </c>
      <c r="C133" s="1" t="s">
        <v>41</v>
      </c>
      <c r="D133" s="1" t="s">
        <v>12</v>
      </c>
      <c r="E133" s="1">
        <v>45758</v>
      </c>
      <c r="F133" s="11">
        <v>42153</v>
      </c>
      <c r="G133" s="1">
        <v>3</v>
      </c>
      <c r="H133" s="1"/>
      <c r="I133" s="4" t="s">
        <v>228</v>
      </c>
    </row>
    <row r="134" spans="1:9">
      <c r="A134" s="12" t="s">
        <v>263</v>
      </c>
      <c r="B134" s="1" t="s">
        <v>68</v>
      </c>
      <c r="C134" s="1" t="s">
        <v>35</v>
      </c>
      <c r="D134" s="1" t="s">
        <v>27</v>
      </c>
      <c r="E134" s="1">
        <v>62476</v>
      </c>
      <c r="F134" s="11">
        <v>42154</v>
      </c>
      <c r="G134" s="1">
        <v>1</v>
      </c>
      <c r="H134" s="1" t="s">
        <v>36</v>
      </c>
      <c r="I134" s="4" t="s">
        <v>141</v>
      </c>
    </row>
    <row r="135" spans="1:9">
      <c r="A135" s="12" t="s">
        <v>264</v>
      </c>
      <c r="B135" s="1"/>
      <c r="C135" s="1" t="s">
        <v>26</v>
      </c>
      <c r="D135" s="1" t="s">
        <v>42</v>
      </c>
      <c r="E135" s="1">
        <v>39280</v>
      </c>
      <c r="F135" s="11">
        <v>42155</v>
      </c>
      <c r="G135" s="1">
        <v>3</v>
      </c>
      <c r="H135" s="1" t="s">
        <v>28</v>
      </c>
      <c r="I135" s="4" t="s">
        <v>101</v>
      </c>
    </row>
    <row r="136" spans="1:9">
      <c r="A136" s="12" t="s">
        <v>265</v>
      </c>
      <c r="B136" s="1" t="s">
        <v>23</v>
      </c>
      <c r="C136" s="1" t="s">
        <v>11</v>
      </c>
      <c r="D136" s="1" t="s">
        <v>27</v>
      </c>
      <c r="E136" s="1">
        <v>60335</v>
      </c>
      <c r="F136" s="11">
        <v>42156</v>
      </c>
      <c r="G136" s="1">
        <v>4</v>
      </c>
      <c r="H136" s="1" t="s">
        <v>36</v>
      </c>
      <c r="I136" s="4" t="s">
        <v>132</v>
      </c>
    </row>
    <row r="137" spans="1:9">
      <c r="A137" s="12" t="s">
        <v>266</v>
      </c>
      <c r="B137" s="1" t="s">
        <v>34</v>
      </c>
      <c r="C137" s="1" t="s">
        <v>41</v>
      </c>
      <c r="D137" s="1" t="s">
        <v>12</v>
      </c>
      <c r="E137" s="1">
        <v>84968</v>
      </c>
      <c r="F137" s="11">
        <v>42157</v>
      </c>
      <c r="G137" s="1"/>
      <c r="H137" s="1"/>
      <c r="I137" s="4" t="s">
        <v>267</v>
      </c>
    </row>
    <row r="138" spans="1:9">
      <c r="A138" s="12" t="s">
        <v>268</v>
      </c>
      <c r="B138" s="1" t="s">
        <v>34</v>
      </c>
      <c r="C138" s="1" t="s">
        <v>35</v>
      </c>
      <c r="D138" s="1" t="s">
        <v>63</v>
      </c>
      <c r="E138" s="1">
        <v>84750</v>
      </c>
      <c r="F138" s="11">
        <v>42158</v>
      </c>
      <c r="G138" s="1">
        <v>4</v>
      </c>
      <c r="H138" s="1" t="s">
        <v>28</v>
      </c>
      <c r="I138" s="4" t="s">
        <v>58</v>
      </c>
    </row>
    <row r="139" spans="1:9">
      <c r="A139" s="12" t="s">
        <v>269</v>
      </c>
      <c r="B139" s="1" t="s">
        <v>50</v>
      </c>
      <c r="C139" s="1" t="s">
        <v>26</v>
      </c>
      <c r="D139" s="1"/>
      <c r="E139" s="1">
        <v>73348</v>
      </c>
      <c r="F139" s="11">
        <v>42159</v>
      </c>
      <c r="G139" s="1">
        <v>2</v>
      </c>
      <c r="H139" s="1"/>
      <c r="I139" s="4" t="s">
        <v>174</v>
      </c>
    </row>
    <row r="140" spans="1:9">
      <c r="A140" s="12" t="s">
        <v>270</v>
      </c>
      <c r="B140" s="1" t="s">
        <v>34</v>
      </c>
      <c r="C140" s="1" t="s">
        <v>16</v>
      </c>
      <c r="D140" s="1" t="s">
        <v>17</v>
      </c>
      <c r="E140" s="1" t="s">
        <v>271</v>
      </c>
      <c r="F140" s="11">
        <v>42160</v>
      </c>
      <c r="G140" s="1">
        <v>4</v>
      </c>
      <c r="H140" s="1" t="s">
        <v>36</v>
      </c>
      <c r="I140" s="4" t="s">
        <v>103</v>
      </c>
    </row>
    <row r="141" spans="1:9">
      <c r="A141" s="12" t="s">
        <v>272</v>
      </c>
      <c r="B141" s="1" t="s">
        <v>23</v>
      </c>
      <c r="C141" s="1" t="s">
        <v>35</v>
      </c>
      <c r="D141" s="1" t="s">
        <v>17</v>
      </c>
      <c r="E141" s="1">
        <v>66882</v>
      </c>
      <c r="F141" s="11">
        <v>42161</v>
      </c>
      <c r="G141" s="1">
        <v>5</v>
      </c>
      <c r="H141" s="1" t="s">
        <v>36</v>
      </c>
      <c r="I141" s="4" t="s">
        <v>86</v>
      </c>
    </row>
    <row r="142" spans="1:9">
      <c r="A142" s="12" t="s">
        <v>273</v>
      </c>
      <c r="B142" s="1" t="s">
        <v>10</v>
      </c>
      <c r="C142" s="2" t="s">
        <v>35</v>
      </c>
      <c r="D142" s="1"/>
      <c r="E142" s="1">
        <v>86775</v>
      </c>
      <c r="F142" s="11">
        <v>42162</v>
      </c>
      <c r="G142" s="1">
        <v>3</v>
      </c>
      <c r="H142" s="1" t="s">
        <v>36</v>
      </c>
      <c r="I142" s="4" t="s">
        <v>97</v>
      </c>
    </row>
    <row r="143" spans="1:9">
      <c r="A143" s="12" t="s">
        <v>274</v>
      </c>
      <c r="B143" s="1" t="s">
        <v>34</v>
      </c>
      <c r="C143" s="1" t="s">
        <v>16</v>
      </c>
      <c r="D143" s="1" t="s">
        <v>42</v>
      </c>
      <c r="E143" s="1">
        <v>91620</v>
      </c>
      <c r="F143" s="11">
        <v>42163</v>
      </c>
      <c r="G143" s="1"/>
      <c r="H143" s="1"/>
      <c r="I143" s="4" t="s">
        <v>275</v>
      </c>
    </row>
    <row r="144" spans="1:9">
      <c r="A144" s="12" t="s">
        <v>276</v>
      </c>
      <c r="B144" s="2" t="s">
        <v>68</v>
      </c>
      <c r="C144" s="1"/>
      <c r="D144" s="1"/>
      <c r="E144" s="1">
        <v>94148</v>
      </c>
      <c r="F144" s="11">
        <v>42164</v>
      </c>
      <c r="G144" s="1">
        <v>2</v>
      </c>
      <c r="H144" s="1"/>
      <c r="I144" s="4" t="s">
        <v>277</v>
      </c>
    </row>
    <row r="145" spans="1:9">
      <c r="A145" s="12" t="s">
        <v>278</v>
      </c>
      <c r="B145" s="1" t="s">
        <v>32</v>
      </c>
      <c r="C145" s="1" t="s">
        <v>16</v>
      </c>
      <c r="D145" s="1" t="s">
        <v>63</v>
      </c>
      <c r="E145" s="1">
        <v>35627</v>
      </c>
      <c r="F145" s="11">
        <v>42165</v>
      </c>
      <c r="G145" s="1">
        <v>5</v>
      </c>
      <c r="H145" s="1" t="s">
        <v>28</v>
      </c>
      <c r="I145" s="4" t="s">
        <v>261</v>
      </c>
    </row>
    <row r="146" spans="1:9">
      <c r="A146" s="12" t="s">
        <v>279</v>
      </c>
      <c r="B146" s="1" t="s">
        <v>15</v>
      </c>
      <c r="C146" s="1" t="s">
        <v>35</v>
      </c>
      <c r="D146" s="1" t="s">
        <v>17</v>
      </c>
      <c r="E146" s="1">
        <v>57141</v>
      </c>
      <c r="F146" s="11">
        <v>42166</v>
      </c>
      <c r="G146" s="1">
        <v>2</v>
      </c>
      <c r="H146" s="1"/>
      <c r="I146" s="4" t="s">
        <v>267</v>
      </c>
    </row>
    <row r="147" spans="1:9">
      <c r="A147" s="12" t="s">
        <v>280</v>
      </c>
      <c r="B147" s="1" t="s">
        <v>50</v>
      </c>
      <c r="C147" s="1" t="s">
        <v>16</v>
      </c>
      <c r="D147" s="1" t="s">
        <v>63</v>
      </c>
      <c r="E147" s="1">
        <v>65270</v>
      </c>
      <c r="F147" s="11">
        <v>42167</v>
      </c>
      <c r="G147" s="1">
        <v>1</v>
      </c>
      <c r="H147" s="1"/>
      <c r="I147" s="4" t="s">
        <v>281</v>
      </c>
    </row>
    <row r="148" spans="1:9">
      <c r="A148" s="12" t="s">
        <v>282</v>
      </c>
      <c r="B148" s="2" t="s">
        <v>50</v>
      </c>
      <c r="C148" s="1"/>
      <c r="D148" s="1" t="s">
        <v>42</v>
      </c>
      <c r="E148" s="9">
        <v>67335</v>
      </c>
      <c r="F148" s="11">
        <v>42168</v>
      </c>
      <c r="G148" s="1">
        <v>1</v>
      </c>
      <c r="H148" s="1" t="s">
        <v>36</v>
      </c>
      <c r="I148" s="4" t="s">
        <v>147</v>
      </c>
    </row>
    <row r="149" spans="1:9">
      <c r="A149" s="13" t="s">
        <v>283</v>
      </c>
      <c r="B149" s="9" t="s">
        <v>32</v>
      </c>
      <c r="C149" s="9" t="s">
        <v>35</v>
      </c>
      <c r="D149" s="18" t="s">
        <v>27</v>
      </c>
      <c r="E149" s="17">
        <v>98475</v>
      </c>
      <c r="F149" s="19">
        <v>42169</v>
      </c>
      <c r="G149" s="9">
        <v>5</v>
      </c>
      <c r="H149" s="9" t="s">
        <v>36</v>
      </c>
      <c r="I149" s="10" t="s">
        <v>284</v>
      </c>
    </row>
    <row r="152" spans="1:9">
      <c r="D152" s="16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2025-12-22T09:09:53Z</dcterms:created>
  <dcterms:modified xsi:type="dcterms:W3CDTF">2025-12-22T14:04:04Z</dcterms:modified>
  <cp:category/>
  <cp:contentStatus/>
</cp:coreProperties>
</file>
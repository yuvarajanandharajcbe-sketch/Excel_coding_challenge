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E924E603-50B4-1F47-87C2-A585941EBE74}" xr6:coauthVersionLast="47" xr6:coauthVersionMax="47" xr10:uidLastSave="{00000000-0000-0000-0000-000000000000}"/>
  <bookViews>
    <workbookView xWindow="0" yWindow="500" windowWidth="28800" windowHeight="16500" xr2:uid="{86640AF6-60B1-0C43-9363-B1FF4E2969B4}"/>
  </bookViews>
  <sheets>
    <sheet name="vlookup" sheetId="1" r:id="rId1"/>
    <sheet name="Duplicate vlookup functio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K9" i="1"/>
  <c r="K8" i="1"/>
  <c r="K7" i="1"/>
  <c r="K6" i="1"/>
</calcChain>
</file>

<file path=xl/sharedStrings.xml><?xml version="1.0" encoding="utf-8"?>
<sst xmlns="http://schemas.openxmlformats.org/spreadsheetml/2006/main" count="255" uniqueCount="146">
  <si>
    <t>Name</t>
  </si>
  <si>
    <t>Student_ID</t>
  </si>
  <si>
    <t>Last Name</t>
  </si>
  <si>
    <t>Dept</t>
  </si>
  <si>
    <t>Mark</t>
  </si>
  <si>
    <t>Attendance (%)</t>
  </si>
  <si>
    <t>Gender_Age</t>
  </si>
  <si>
    <t>Ravi</t>
  </si>
  <si>
    <t>S1000</t>
  </si>
  <si>
    <t>Kumar</t>
  </si>
  <si>
    <t>Arts</t>
  </si>
  <si>
    <t>M22</t>
  </si>
  <si>
    <t xml:space="preserve">what is dept </t>
  </si>
  <si>
    <t>Mohan</t>
  </si>
  <si>
    <t>S1001</t>
  </si>
  <si>
    <t>Raj</t>
  </si>
  <si>
    <t>arts</t>
  </si>
  <si>
    <t>M34</t>
  </si>
  <si>
    <t>deepthiKha</t>
  </si>
  <si>
    <t>S1002</t>
  </si>
  <si>
    <t>Rani</t>
  </si>
  <si>
    <t>F21</t>
  </si>
  <si>
    <t>Manohar</t>
  </si>
  <si>
    <t>S1003</t>
  </si>
  <si>
    <t>Babu</t>
  </si>
  <si>
    <t>Commerce</t>
  </si>
  <si>
    <t>M25</t>
  </si>
  <si>
    <t>Column1</t>
  </si>
  <si>
    <t>Column2</t>
  </si>
  <si>
    <t>Priyanka</t>
  </si>
  <si>
    <t>S1004</t>
  </si>
  <si>
    <t>Devi</t>
  </si>
  <si>
    <t>Science</t>
  </si>
  <si>
    <t>F23</t>
  </si>
  <si>
    <t>vinoth</t>
  </si>
  <si>
    <t>Vinoth</t>
  </si>
  <si>
    <t>S1005</t>
  </si>
  <si>
    <t>Muthu</t>
  </si>
  <si>
    <t>M26</t>
  </si>
  <si>
    <t>shanthi</t>
  </si>
  <si>
    <t>Shanthi</t>
  </si>
  <si>
    <t>S1006</t>
  </si>
  <si>
    <t>Lakshmi</t>
  </si>
  <si>
    <t>F29</t>
  </si>
  <si>
    <t>mari</t>
  </si>
  <si>
    <t>manimegalai</t>
  </si>
  <si>
    <t>S1007</t>
  </si>
  <si>
    <t>Selvi</t>
  </si>
  <si>
    <t>F28</t>
  </si>
  <si>
    <t>vimal</t>
  </si>
  <si>
    <t>Karthi</t>
  </si>
  <si>
    <t>S1008</t>
  </si>
  <si>
    <t>Velu</t>
  </si>
  <si>
    <t>Mari</t>
  </si>
  <si>
    <t>S1009</t>
  </si>
  <si>
    <t>Gopi</t>
  </si>
  <si>
    <t>M23</t>
  </si>
  <si>
    <t>Mahesh</t>
  </si>
  <si>
    <t>S1010</t>
  </si>
  <si>
    <t>Sekar</t>
  </si>
  <si>
    <t>M24</t>
  </si>
  <si>
    <t>sangeetha</t>
  </si>
  <si>
    <t>S1011</t>
  </si>
  <si>
    <t>Raji</t>
  </si>
  <si>
    <t>F22</t>
  </si>
  <si>
    <t>Raghul</t>
  </si>
  <si>
    <t>S1012</t>
  </si>
  <si>
    <t>Arul</t>
  </si>
  <si>
    <t>Jothi</t>
  </si>
  <si>
    <t>S1013</t>
  </si>
  <si>
    <t>Radha</t>
  </si>
  <si>
    <t>F26</t>
  </si>
  <si>
    <t>Anisha</t>
  </si>
  <si>
    <t>S1014</t>
  </si>
  <si>
    <t>Meena</t>
  </si>
  <si>
    <t>F27</t>
  </si>
  <si>
    <t>Venkat</t>
  </si>
  <si>
    <t>S1015</t>
  </si>
  <si>
    <t>Hari</t>
  </si>
  <si>
    <t>Chandru</t>
  </si>
  <si>
    <t>S1016</t>
  </si>
  <si>
    <t>Raja</t>
  </si>
  <si>
    <t>Dinesh</t>
  </si>
  <si>
    <t>S1017</t>
  </si>
  <si>
    <t>Poorvika</t>
  </si>
  <si>
    <t>S1018</t>
  </si>
  <si>
    <t>Vimal</t>
  </si>
  <si>
    <t>S1019</t>
  </si>
  <si>
    <t>Arasu</t>
  </si>
  <si>
    <t>Parthiban</t>
  </si>
  <si>
    <t>S1020</t>
  </si>
  <si>
    <t>Bala</t>
  </si>
  <si>
    <t>Santhosh</t>
  </si>
  <si>
    <t>S1021</t>
  </si>
  <si>
    <t>Gokul</t>
  </si>
  <si>
    <t>Keerthika</t>
  </si>
  <si>
    <t>S1022</t>
  </si>
  <si>
    <t>divya</t>
  </si>
  <si>
    <t>F24</t>
  </si>
  <si>
    <t>Reeta</t>
  </si>
  <si>
    <t>S1023</t>
  </si>
  <si>
    <t>Yamuna</t>
  </si>
  <si>
    <t>Lalitha</t>
  </si>
  <si>
    <t>S1024</t>
  </si>
  <si>
    <t>Nila</t>
  </si>
  <si>
    <t>F25</t>
  </si>
  <si>
    <t>Sridhar</t>
  </si>
  <si>
    <t>S1025</t>
  </si>
  <si>
    <t>Ramu</t>
  </si>
  <si>
    <t>M27</t>
  </si>
  <si>
    <t>Kavitha</t>
  </si>
  <si>
    <t>S1026</t>
  </si>
  <si>
    <t>Banu</t>
  </si>
  <si>
    <t>Murugesan</t>
  </si>
  <si>
    <t>S1027</t>
  </si>
  <si>
    <t>Kani</t>
  </si>
  <si>
    <t>Gandhi</t>
  </si>
  <si>
    <t>S1028</t>
  </si>
  <si>
    <t>Selvam</t>
  </si>
  <si>
    <t>M28</t>
  </si>
  <si>
    <t>S1029</t>
  </si>
  <si>
    <t>Varshini</t>
  </si>
  <si>
    <t>S1030</t>
  </si>
  <si>
    <t>Indhumathi</t>
  </si>
  <si>
    <t>S1031</t>
  </si>
  <si>
    <t>Nithya</t>
  </si>
  <si>
    <t>Janani</t>
  </si>
  <si>
    <t>S1032</t>
  </si>
  <si>
    <t>Uma</t>
  </si>
  <si>
    <t>Bharath</t>
  </si>
  <si>
    <t>S1033</t>
  </si>
  <si>
    <t>Guru</t>
  </si>
  <si>
    <t>Akash</t>
  </si>
  <si>
    <t>S1034</t>
  </si>
  <si>
    <t>Vignesh</t>
  </si>
  <si>
    <t>S1035</t>
  </si>
  <si>
    <t>kani</t>
  </si>
  <si>
    <t>Nirmal</t>
  </si>
  <si>
    <t>S1036</t>
  </si>
  <si>
    <t>Prakash</t>
  </si>
  <si>
    <t>id</t>
  </si>
  <si>
    <t>last name</t>
  </si>
  <si>
    <t>dept</t>
  </si>
  <si>
    <t>mark</t>
  </si>
  <si>
    <t>attendance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</si>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</sst>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uvarajanandaraj/Downloads/VLOOKUP%20&amp;%20HLOOKUP.xlsx" TargetMode="External"/><Relationship Id="rId1" Type="http://schemas.openxmlformats.org/officeDocument/2006/relationships/externalLinkPath" Target="VLOOKUP%20&amp;%20H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"/>
      <sheetName val="VLOOKUP2"/>
      <sheetName val="H LOOKUP"/>
      <sheetName val="XLOOKUP"/>
      <sheetName val="INDEX &amp; MATCH"/>
    </sheetNames>
    <sheetDataSet>
      <sheetData sheetId="0">
        <row r="2">
          <cell r="A2" t="str">
            <v>Ravi</v>
          </cell>
          <cell r="B2" t="str">
            <v>S1000</v>
          </cell>
          <cell r="C2" t="str">
            <v>Kumar</v>
          </cell>
          <cell r="D2" t="str">
            <v>Arts</v>
          </cell>
          <cell r="E2">
            <v>76</v>
          </cell>
          <cell r="F2">
            <v>82</v>
          </cell>
          <cell r="G2" t="str">
            <v>M22</v>
          </cell>
        </row>
        <row r="3">
          <cell r="A3" t="str">
            <v>Mohan</v>
          </cell>
          <cell r="B3" t="str">
            <v>S1001</v>
          </cell>
          <cell r="C3" t="str">
            <v>Raj</v>
          </cell>
          <cell r="D3" t="str">
            <v>arts</v>
          </cell>
          <cell r="E3">
            <v>71</v>
          </cell>
          <cell r="F3"/>
          <cell r="G3" t="str">
            <v>M34</v>
          </cell>
        </row>
        <row r="4">
          <cell r="A4" t="str">
            <v>deepthiKha</v>
          </cell>
          <cell r="B4" t="str">
            <v>S1002</v>
          </cell>
          <cell r="C4" t="str">
            <v>Rani</v>
          </cell>
          <cell r="D4" t="str">
            <v>Arts</v>
          </cell>
          <cell r="E4">
            <v>39</v>
          </cell>
          <cell r="F4">
            <v>65</v>
          </cell>
          <cell r="G4" t="str">
            <v>F21</v>
          </cell>
        </row>
        <row r="5">
          <cell r="A5" t="str">
            <v>Manohar</v>
          </cell>
          <cell r="B5" t="str">
            <v>S1003</v>
          </cell>
          <cell r="C5" t="str">
            <v>Babu</v>
          </cell>
          <cell r="D5" t="str">
            <v>Commerce</v>
          </cell>
          <cell r="E5">
            <v>72</v>
          </cell>
          <cell r="F5">
            <v>93</v>
          </cell>
          <cell r="G5" t="str">
            <v>M25</v>
          </cell>
        </row>
        <row r="6">
          <cell r="A6" t="str">
            <v>Priyanka</v>
          </cell>
          <cell r="B6" t="str">
            <v>S1004</v>
          </cell>
          <cell r="C6" t="str">
            <v>Devi</v>
          </cell>
          <cell r="D6" t="str">
            <v>Science</v>
          </cell>
          <cell r="E6">
            <v>60</v>
          </cell>
          <cell r="F6">
            <v>73</v>
          </cell>
          <cell r="G6" t="str">
            <v>F23</v>
          </cell>
        </row>
        <row r="7">
          <cell r="A7" t="str">
            <v>Vinoth</v>
          </cell>
          <cell r="B7" t="str">
            <v>S1005</v>
          </cell>
          <cell r="C7" t="str">
            <v>Muthu</v>
          </cell>
          <cell r="D7" t="str">
            <v>Commerce</v>
          </cell>
          <cell r="E7">
            <v>84</v>
          </cell>
          <cell r="F7">
            <v>62</v>
          </cell>
          <cell r="G7" t="str">
            <v>M26</v>
          </cell>
        </row>
        <row r="8">
          <cell r="A8" t="str">
            <v>Shanthi</v>
          </cell>
          <cell r="B8" t="str">
            <v>S1006</v>
          </cell>
          <cell r="C8" t="str">
            <v>Lakshmi</v>
          </cell>
          <cell r="D8" t="str">
            <v>Arts</v>
          </cell>
          <cell r="E8">
            <v>60</v>
          </cell>
          <cell r="F8">
            <v>86</v>
          </cell>
          <cell r="G8" t="str">
            <v>F29</v>
          </cell>
        </row>
        <row r="9">
          <cell r="A9" t="str">
            <v>manimegalai</v>
          </cell>
          <cell r="B9" t="str">
            <v>S1007</v>
          </cell>
          <cell r="C9" t="str">
            <v>Selvi</v>
          </cell>
          <cell r="D9" t="str">
            <v>Commerce</v>
          </cell>
          <cell r="E9">
            <v>98</v>
          </cell>
          <cell r="F9">
            <v>96</v>
          </cell>
          <cell r="G9" t="str">
            <v>F28</v>
          </cell>
        </row>
        <row r="10">
          <cell r="A10" t="str">
            <v>Karthi</v>
          </cell>
          <cell r="B10" t="str">
            <v>S1008</v>
          </cell>
          <cell r="C10" t="str">
            <v>Velu</v>
          </cell>
          <cell r="D10" t="str">
            <v>Commerce</v>
          </cell>
          <cell r="E10">
            <v>44</v>
          </cell>
          <cell r="F10">
            <v>95</v>
          </cell>
          <cell r="G10" t="str">
            <v>M22</v>
          </cell>
        </row>
        <row r="11">
          <cell r="A11" t="str">
            <v>Mari</v>
          </cell>
          <cell r="B11" t="str">
            <v>S1009</v>
          </cell>
          <cell r="C11" t="str">
            <v>Gopi</v>
          </cell>
          <cell r="D11" t="str">
            <v>Science</v>
          </cell>
          <cell r="E11">
            <v>94</v>
          </cell>
          <cell r="F11">
            <v>66</v>
          </cell>
          <cell r="G11" t="str">
            <v>M23</v>
          </cell>
        </row>
        <row r="12">
          <cell r="A12" t="str">
            <v>Mahesh</v>
          </cell>
          <cell r="B12" t="str">
            <v>S1010</v>
          </cell>
          <cell r="C12" t="str">
            <v>Sekar</v>
          </cell>
          <cell r="D12" t="str">
            <v>arts</v>
          </cell>
          <cell r="E12"/>
          <cell r="F12">
            <v>65</v>
          </cell>
          <cell r="G12" t="str">
            <v>M24</v>
          </cell>
        </row>
        <row r="13">
          <cell r="A13" t="str">
            <v>sangeetha</v>
          </cell>
          <cell r="B13" t="str">
            <v>S1011</v>
          </cell>
          <cell r="C13" t="str">
            <v>Raji</v>
          </cell>
          <cell r="D13" t="str">
            <v>Science</v>
          </cell>
          <cell r="E13">
            <v>51</v>
          </cell>
          <cell r="F13">
            <v>61</v>
          </cell>
          <cell r="G13" t="str">
            <v>F22</v>
          </cell>
        </row>
        <row r="14">
          <cell r="A14" t="str">
            <v>Raghul</v>
          </cell>
          <cell r="B14" t="str">
            <v>S1012</v>
          </cell>
          <cell r="C14" t="str">
            <v>Arul</v>
          </cell>
          <cell r="D14" t="str">
            <v>Arts</v>
          </cell>
          <cell r="E14">
            <v>73</v>
          </cell>
          <cell r="F14">
            <v>91</v>
          </cell>
          <cell r="G14" t="str">
            <v>M25</v>
          </cell>
        </row>
        <row r="15">
          <cell r="A15" t="str">
            <v>Jothi</v>
          </cell>
          <cell r="B15" t="str">
            <v>S1013</v>
          </cell>
          <cell r="C15" t="str">
            <v>Radha</v>
          </cell>
          <cell r="D15" t="str">
            <v>Commerce</v>
          </cell>
          <cell r="E15">
            <v>60</v>
          </cell>
          <cell r="F15"/>
          <cell r="G15" t="str">
            <v>F26</v>
          </cell>
        </row>
        <row r="16">
          <cell r="A16" t="str">
            <v>Anisha</v>
          </cell>
          <cell r="B16" t="str">
            <v>S1014</v>
          </cell>
          <cell r="C16" t="str">
            <v>Meena</v>
          </cell>
          <cell r="D16" t="str">
            <v>Commerce</v>
          </cell>
          <cell r="E16">
            <v>41</v>
          </cell>
          <cell r="F16">
            <v>88</v>
          </cell>
          <cell r="G16" t="str">
            <v>F27</v>
          </cell>
        </row>
        <row r="17">
          <cell r="A17" t="str">
            <v>Venkat</v>
          </cell>
          <cell r="B17" t="str">
            <v>S1015</v>
          </cell>
          <cell r="C17" t="str">
            <v>Hari</v>
          </cell>
          <cell r="D17" t="str">
            <v>Commerce</v>
          </cell>
          <cell r="E17">
            <v>35</v>
          </cell>
          <cell r="F17">
            <v>90</v>
          </cell>
          <cell r="G17" t="str">
            <v>M22</v>
          </cell>
        </row>
        <row r="18">
          <cell r="A18" t="str">
            <v>Chandru</v>
          </cell>
          <cell r="B18" t="str">
            <v>S1016</v>
          </cell>
          <cell r="C18" t="str">
            <v>Raja</v>
          </cell>
          <cell r="D18" t="str">
            <v>Science</v>
          </cell>
          <cell r="E18">
            <v>55</v>
          </cell>
          <cell r="F18">
            <v>96</v>
          </cell>
          <cell r="G18" t="str">
            <v>M24</v>
          </cell>
        </row>
        <row r="19">
          <cell r="A19" t="str">
            <v>Dinesh</v>
          </cell>
          <cell r="B19" t="str">
            <v>S1017</v>
          </cell>
          <cell r="C19" t="str">
            <v>Kumar</v>
          </cell>
          <cell r="D19" t="str">
            <v>Arts</v>
          </cell>
          <cell r="E19">
            <v>74</v>
          </cell>
          <cell r="F19">
            <v>71</v>
          </cell>
          <cell r="G19" t="str">
            <v>M23</v>
          </cell>
        </row>
        <row r="20">
          <cell r="A20" t="str">
            <v>Poorvika</v>
          </cell>
          <cell r="B20" t="str">
            <v>S1018</v>
          </cell>
          <cell r="C20" t="str">
            <v>Devi</v>
          </cell>
          <cell r="D20" t="str">
            <v>Science</v>
          </cell>
          <cell r="E20"/>
          <cell r="F20">
            <v>62</v>
          </cell>
          <cell r="G20" t="str">
            <v>F21</v>
          </cell>
        </row>
        <row r="21">
          <cell r="A21" t="str">
            <v>Vimal</v>
          </cell>
          <cell r="B21" t="str">
            <v>S1019</v>
          </cell>
          <cell r="C21" t="str">
            <v>Arasu</v>
          </cell>
          <cell r="D21" t="str">
            <v>Commerce</v>
          </cell>
          <cell r="E21">
            <v>53</v>
          </cell>
          <cell r="F21">
            <v>100</v>
          </cell>
          <cell r="G21" t="str">
            <v>M25</v>
          </cell>
        </row>
        <row r="22">
          <cell r="A22" t="str">
            <v>Chandru</v>
          </cell>
          <cell r="B22" t="str">
            <v>S1016</v>
          </cell>
          <cell r="C22" t="str">
            <v>Raja</v>
          </cell>
          <cell r="D22" t="str">
            <v>Science</v>
          </cell>
          <cell r="E22">
            <v>55</v>
          </cell>
          <cell r="F22">
            <v>96</v>
          </cell>
          <cell r="G22" t="str">
            <v>M24</v>
          </cell>
        </row>
        <row r="23">
          <cell r="A23" t="str">
            <v>Parthiban</v>
          </cell>
          <cell r="B23" t="str">
            <v>S1020</v>
          </cell>
          <cell r="C23" t="str">
            <v>Bala</v>
          </cell>
          <cell r="D23" t="str">
            <v>Science</v>
          </cell>
          <cell r="E23">
            <v>80</v>
          </cell>
          <cell r="F23">
            <v>67</v>
          </cell>
          <cell r="G23" t="str">
            <v>M26</v>
          </cell>
        </row>
        <row r="24">
          <cell r="A24" t="str">
            <v>Santhosh</v>
          </cell>
          <cell r="B24" t="str">
            <v>S1021</v>
          </cell>
          <cell r="C24" t="str">
            <v>Gokul</v>
          </cell>
          <cell r="D24" t="str">
            <v>Arts</v>
          </cell>
          <cell r="E24">
            <v>62</v>
          </cell>
          <cell r="F24">
            <v>83</v>
          </cell>
          <cell r="G24" t="str">
            <v>M23</v>
          </cell>
        </row>
        <row r="25">
          <cell r="A25" t="str">
            <v>Keerthika</v>
          </cell>
          <cell r="B25" t="str">
            <v>S1022</v>
          </cell>
          <cell r="C25" t="str">
            <v>divya</v>
          </cell>
          <cell r="D25" t="str">
            <v>Arts</v>
          </cell>
          <cell r="E25">
            <v>98</v>
          </cell>
          <cell r="F25">
            <v>92</v>
          </cell>
          <cell r="G25" t="str">
            <v>F24</v>
          </cell>
        </row>
        <row r="26">
          <cell r="A26" t="str">
            <v>Reeta</v>
          </cell>
          <cell r="B26" t="str">
            <v>S1023</v>
          </cell>
          <cell r="C26" t="str">
            <v>Yamuna</v>
          </cell>
          <cell r="D26" t="str">
            <v>Arts</v>
          </cell>
          <cell r="E26">
            <v>41</v>
          </cell>
          <cell r="F26">
            <v>62</v>
          </cell>
          <cell r="G26" t="str">
            <v>F28</v>
          </cell>
        </row>
        <row r="27">
          <cell r="A27" t="str">
            <v>Lalitha</v>
          </cell>
          <cell r="B27" t="str">
            <v>S1024</v>
          </cell>
          <cell r="C27" t="str">
            <v>Nila</v>
          </cell>
          <cell r="D27" t="str">
            <v>Science</v>
          </cell>
          <cell r="E27">
            <v>37</v>
          </cell>
          <cell r="F27">
            <v>73</v>
          </cell>
          <cell r="G27" t="str">
            <v>F25</v>
          </cell>
        </row>
        <row r="28">
          <cell r="A28" t="str">
            <v>Sridhar</v>
          </cell>
          <cell r="B28" t="str">
            <v>S1025</v>
          </cell>
          <cell r="C28" t="str">
            <v>Ramu</v>
          </cell>
          <cell r="D28" t="str">
            <v>Commerce</v>
          </cell>
          <cell r="E28">
            <v>76</v>
          </cell>
          <cell r="F28">
            <v>80</v>
          </cell>
          <cell r="G28" t="str">
            <v>M27</v>
          </cell>
        </row>
        <row r="29">
          <cell r="A29" t="str">
            <v>Chandru</v>
          </cell>
          <cell r="B29" t="str">
            <v>S1016</v>
          </cell>
          <cell r="C29" t="str">
            <v>Raja</v>
          </cell>
          <cell r="D29" t="str">
            <v>Science</v>
          </cell>
          <cell r="E29">
            <v>55</v>
          </cell>
          <cell r="F29">
            <v>96</v>
          </cell>
          <cell r="G29" t="str">
            <v>M24</v>
          </cell>
        </row>
        <row r="30">
          <cell r="A30" t="str">
            <v>Kavitha</v>
          </cell>
          <cell r="B30" t="str">
            <v>S1026</v>
          </cell>
          <cell r="C30" t="str">
            <v>Banu</v>
          </cell>
          <cell r="D30" t="str">
            <v>Commerce</v>
          </cell>
          <cell r="E30">
            <v>71</v>
          </cell>
          <cell r="F30">
            <v>84</v>
          </cell>
          <cell r="G30" t="str">
            <v>F26</v>
          </cell>
        </row>
        <row r="31">
          <cell r="A31" t="str">
            <v>Murugesan</v>
          </cell>
          <cell r="B31" t="str">
            <v>S1027</v>
          </cell>
          <cell r="C31" t="str">
            <v>Kani</v>
          </cell>
          <cell r="D31" t="str">
            <v>Commerce</v>
          </cell>
          <cell r="E31"/>
          <cell r="F31">
            <v>65</v>
          </cell>
          <cell r="G31" t="str">
            <v>M23</v>
          </cell>
        </row>
        <row r="32">
          <cell r="A32" t="str">
            <v>Gandhi</v>
          </cell>
          <cell r="B32" t="str">
            <v>S1028</v>
          </cell>
          <cell r="C32" t="str">
            <v>Selvam</v>
          </cell>
          <cell r="D32" t="str">
            <v>Arts</v>
          </cell>
          <cell r="E32">
            <v>54</v>
          </cell>
          <cell r="F32">
            <v>99</v>
          </cell>
          <cell r="G32" t="str">
            <v>M28</v>
          </cell>
        </row>
        <row r="33">
          <cell r="A33" t="str">
            <v>Sridhar</v>
          </cell>
          <cell r="B33" t="str">
            <v>S1029</v>
          </cell>
          <cell r="C33" t="str">
            <v>Ramu</v>
          </cell>
          <cell r="D33" t="str">
            <v>Commerce</v>
          </cell>
          <cell r="E33">
            <v>76</v>
          </cell>
          <cell r="F33">
            <v>80</v>
          </cell>
          <cell r="G33" t="str">
            <v>M27</v>
          </cell>
        </row>
        <row r="34">
          <cell r="A34" t="str">
            <v>Varshini</v>
          </cell>
          <cell r="B34" t="str">
            <v>S1030</v>
          </cell>
          <cell r="C34" t="str">
            <v>Devi</v>
          </cell>
          <cell r="D34" t="str">
            <v>Science</v>
          </cell>
          <cell r="E34">
            <v>90</v>
          </cell>
          <cell r="F34">
            <v>66</v>
          </cell>
          <cell r="G34" t="str">
            <v>F22</v>
          </cell>
        </row>
        <row r="35">
          <cell r="A35" t="str">
            <v>Indhumathi</v>
          </cell>
          <cell r="B35" t="str">
            <v>S1031</v>
          </cell>
          <cell r="C35" t="str">
            <v>Nithya</v>
          </cell>
          <cell r="D35" t="str">
            <v>Arts</v>
          </cell>
          <cell r="E35">
            <v>80</v>
          </cell>
          <cell r="F35">
            <v>91</v>
          </cell>
          <cell r="G35" t="str">
            <v>F29</v>
          </cell>
        </row>
        <row r="36">
          <cell r="A36" t="str">
            <v>Janani</v>
          </cell>
          <cell r="B36" t="str">
            <v>S1032</v>
          </cell>
          <cell r="C36" t="str">
            <v>Uma</v>
          </cell>
          <cell r="D36" t="str">
            <v>Science</v>
          </cell>
          <cell r="E36">
            <v>57</v>
          </cell>
          <cell r="F36">
            <v>72</v>
          </cell>
          <cell r="G36" t="str">
            <v>F23</v>
          </cell>
        </row>
        <row r="37">
          <cell r="A37" t="str">
            <v>Bharath</v>
          </cell>
          <cell r="B37" t="str">
            <v>S1033</v>
          </cell>
          <cell r="C37" t="str">
            <v>Guru</v>
          </cell>
          <cell r="D37" t="str">
            <v>Science</v>
          </cell>
          <cell r="E37">
            <v>92</v>
          </cell>
          <cell r="F37">
            <v>87</v>
          </cell>
          <cell r="G37" t="str">
            <v>M25</v>
          </cell>
        </row>
        <row r="38">
          <cell r="A38" t="str">
            <v>Akash</v>
          </cell>
          <cell r="B38" t="str">
            <v>S1034</v>
          </cell>
          <cell r="C38" t="str">
            <v>Vignesh</v>
          </cell>
          <cell r="D38" t="str">
            <v>Arts</v>
          </cell>
          <cell r="E38">
            <v>52</v>
          </cell>
          <cell r="F38">
            <v>84</v>
          </cell>
          <cell r="G38" t="str">
            <v>M22</v>
          </cell>
        </row>
        <row r="39">
          <cell r="A39" t="str">
            <v>Murugesan</v>
          </cell>
          <cell r="B39" t="str">
            <v>S1035</v>
          </cell>
          <cell r="C39" t="str">
            <v>kani</v>
          </cell>
          <cell r="D39" t="str">
            <v>Commerce</v>
          </cell>
          <cell r="E39">
            <v>53</v>
          </cell>
          <cell r="F39">
            <v>65</v>
          </cell>
          <cell r="G39" t="str">
            <v>M23</v>
          </cell>
        </row>
        <row r="40">
          <cell r="A40" t="str">
            <v>Nirmal</v>
          </cell>
          <cell r="B40" t="str">
            <v>S1036</v>
          </cell>
          <cell r="C40" t="str">
            <v>Prakash</v>
          </cell>
          <cell r="D40" t="str">
            <v>Commerce</v>
          </cell>
          <cell r="E40">
            <v>97</v>
          </cell>
          <cell r="F40">
            <v>88</v>
          </cell>
          <cell r="G40" t="str">
            <v>M24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1BC58-7983-FC46-9481-DA5F393EF114}" name="Table1" displayName="Table1" ref="J5:K9" totalsRowShown="0">
  <autoFilter ref="J5:K9" xr:uid="{2C51BC58-7983-FC46-9481-DA5F393EF114}"/>
  <tableColumns count="2">
    <tableColumn id="1" xr3:uid="{C4B9548C-731F-5A4D-A2AB-3019188090FA}" name="Column1"/>
    <tableColumn id="2" xr3:uid="{0D279C5D-24E8-0E45-AE71-3F5386354BA9}" name="Column2" dataDxfId="0">
      <calculatedColumnFormula>VLOOKUP(J6,A2:G40,4,FALSE)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100D-66FF-FA45-A7C7-CB6A6908A67F}">
  <dimension ref="A1:K40"/>
  <sheetViews>
    <sheetView tabSelected="1" workbookViewId="0">
      <selection activeCell="K6" sqref="K6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1" t="s">
        <v>7</v>
      </c>
      <c r="B2" s="1" t="s">
        <v>8</v>
      </c>
      <c r="C2" s="1" t="s">
        <v>9</v>
      </c>
      <c r="D2" s="1" t="s">
        <v>10</v>
      </c>
      <c r="E2" s="1">
        <v>76</v>
      </c>
      <c r="F2" s="1">
        <v>82</v>
      </c>
      <c r="G2" s="1" t="s">
        <v>11</v>
      </c>
      <c r="J2" s="2" t="s">
        <v>12</v>
      </c>
      <c r="K2" s="2"/>
    </row>
    <row r="3" spans="1:11" x14ac:dyDescent="0.2">
      <c r="A3" s="1" t="s">
        <v>13</v>
      </c>
      <c r="B3" s="1" t="s">
        <v>14</v>
      </c>
      <c r="C3" s="1" t="s">
        <v>15</v>
      </c>
      <c r="D3" s="1" t="s">
        <v>16</v>
      </c>
      <c r="E3" s="1">
        <v>71</v>
      </c>
      <c r="F3" s="1"/>
      <c r="G3" s="1" t="s">
        <v>17</v>
      </c>
    </row>
    <row r="4" spans="1:11" x14ac:dyDescent="0.2">
      <c r="A4" s="1" t="s">
        <v>18</v>
      </c>
      <c r="B4" s="1" t="s">
        <v>19</v>
      </c>
      <c r="C4" s="1" t="s">
        <v>20</v>
      </c>
      <c r="D4" s="1" t="s">
        <v>10</v>
      </c>
      <c r="E4" s="1">
        <v>39</v>
      </c>
      <c r="F4" s="1">
        <v>65</v>
      </c>
      <c r="G4" s="1" t="s">
        <v>21</v>
      </c>
    </row>
    <row r="5" spans="1:11" x14ac:dyDescent="0.2">
      <c r="A5" s="1" t="s">
        <v>22</v>
      </c>
      <c r="B5" s="1" t="s">
        <v>23</v>
      </c>
      <c r="C5" s="1" t="s">
        <v>24</v>
      </c>
      <c r="D5" s="1" t="s">
        <v>25</v>
      </c>
      <c r="E5" s="1">
        <v>72</v>
      </c>
      <c r="F5" s="1">
        <v>93</v>
      </c>
      <c r="G5" s="1" t="s">
        <v>26</v>
      </c>
      <c r="J5" t="s">
        <v>27</v>
      </c>
      <c r="K5" t="s">
        <v>28</v>
      </c>
    </row>
    <row r="6" spans="1:11" x14ac:dyDescent="0.2">
      <c r="A6" s="1" t="s">
        <v>29</v>
      </c>
      <c r="B6" s="1" t="s">
        <v>30</v>
      </c>
      <c r="C6" s="1" t="s">
        <v>31</v>
      </c>
      <c r="D6" s="1" t="s">
        <v>32</v>
      </c>
      <c r="E6" s="1">
        <v>60</v>
      </c>
      <c r="F6" s="1">
        <v>73</v>
      </c>
      <c r="G6" s="1" t="s">
        <v>33</v>
      </c>
      <c r="J6" t="s">
        <v>34</v>
      </c>
      <c r="K6" t="str">
        <f t="shared" ref="K6:K9" si="0">VLOOKUP(J6,A2:G40,4,FALSE)</f>
        <v>Commerce</v>
      </c>
    </row>
    <row r="7" spans="1:11" x14ac:dyDescent="0.2">
      <c r="A7" s="1" t="s">
        <v>35</v>
      </c>
      <c r="B7" s="1" t="s">
        <v>36</v>
      </c>
      <c r="C7" s="1" t="s">
        <v>37</v>
      </c>
      <c r="D7" s="1" t="s">
        <v>25</v>
      </c>
      <c r="E7" s="1">
        <v>84</v>
      </c>
      <c r="F7" s="1">
        <v>62</v>
      </c>
      <c r="G7" s="1" t="s">
        <v>38</v>
      </c>
      <c r="J7" t="s">
        <v>39</v>
      </c>
      <c r="K7" t="str">
        <f t="shared" si="0"/>
        <v>Arts</v>
      </c>
    </row>
    <row r="8" spans="1:11" x14ac:dyDescent="0.2">
      <c r="A8" s="1" t="s">
        <v>40</v>
      </c>
      <c r="B8" s="1" t="s">
        <v>41</v>
      </c>
      <c r="C8" s="1" t="s">
        <v>42</v>
      </c>
      <c r="D8" s="1" t="s">
        <v>10</v>
      </c>
      <c r="E8" s="1">
        <v>60</v>
      </c>
      <c r="F8" s="1">
        <v>86</v>
      </c>
      <c r="G8" s="1" t="s">
        <v>43</v>
      </c>
      <c r="J8" t="s">
        <v>44</v>
      </c>
      <c r="K8" t="str">
        <f t="shared" si="0"/>
        <v>Science</v>
      </c>
    </row>
    <row r="9" spans="1:11" x14ac:dyDescent="0.2">
      <c r="A9" s="1" t="s">
        <v>45</v>
      </c>
      <c r="B9" s="1" t="s">
        <v>46</v>
      </c>
      <c r="C9" s="1" t="s">
        <v>47</v>
      </c>
      <c r="D9" s="1" t="s">
        <v>25</v>
      </c>
      <c r="E9" s="1">
        <v>98</v>
      </c>
      <c r="F9" s="1">
        <v>96</v>
      </c>
      <c r="G9" s="1" t="s">
        <v>48</v>
      </c>
      <c r="J9" t="s">
        <v>49</v>
      </c>
      <c r="K9" t="str">
        <f t="shared" si="0"/>
        <v>Commerce</v>
      </c>
    </row>
    <row r="10" spans="1:11" x14ac:dyDescent="0.2">
      <c r="A10" s="1" t="s">
        <v>50</v>
      </c>
      <c r="B10" s="1" t="s">
        <v>51</v>
      </c>
      <c r="C10" s="1" t="s">
        <v>52</v>
      </c>
      <c r="D10" s="1" t="s">
        <v>25</v>
      </c>
      <c r="E10" s="1">
        <v>44</v>
      </c>
      <c r="F10" s="1">
        <v>95</v>
      </c>
      <c r="G10" s="1" t="s">
        <v>11</v>
      </c>
    </row>
    <row r="11" spans="1:11" x14ac:dyDescent="0.2">
      <c r="A11" s="1" t="s">
        <v>53</v>
      </c>
      <c r="B11" s="1" t="s">
        <v>54</v>
      </c>
      <c r="C11" s="1" t="s">
        <v>55</v>
      </c>
      <c r="D11" s="1" t="s">
        <v>32</v>
      </c>
      <c r="E11" s="1">
        <v>94</v>
      </c>
      <c r="F11" s="1">
        <v>66</v>
      </c>
      <c r="G11" s="1" t="s">
        <v>56</v>
      </c>
    </row>
    <row r="12" spans="1:11" x14ac:dyDescent="0.2">
      <c r="A12" s="1" t="s">
        <v>57</v>
      </c>
      <c r="B12" s="1" t="s">
        <v>58</v>
      </c>
      <c r="C12" s="1" t="s">
        <v>59</v>
      </c>
      <c r="D12" s="1" t="s">
        <v>16</v>
      </c>
      <c r="E12" s="1"/>
      <c r="F12" s="1">
        <v>65</v>
      </c>
      <c r="G12" s="1" t="s">
        <v>60</v>
      </c>
    </row>
    <row r="13" spans="1:11" x14ac:dyDescent="0.2">
      <c r="A13" s="1" t="s">
        <v>61</v>
      </c>
      <c r="B13" s="1" t="s">
        <v>62</v>
      </c>
      <c r="C13" s="1" t="s">
        <v>63</v>
      </c>
      <c r="D13" s="1" t="s">
        <v>32</v>
      </c>
      <c r="E13" s="1">
        <v>51</v>
      </c>
      <c r="F13" s="1">
        <v>61</v>
      </c>
      <c r="G13" s="1" t="s">
        <v>64</v>
      </c>
    </row>
    <row r="14" spans="1:11" x14ac:dyDescent="0.2">
      <c r="A14" s="1" t="s">
        <v>65</v>
      </c>
      <c r="B14" s="1" t="s">
        <v>66</v>
      </c>
      <c r="C14" s="1" t="s">
        <v>67</v>
      </c>
      <c r="D14" s="1" t="s">
        <v>10</v>
      </c>
      <c r="E14" s="1">
        <v>73</v>
      </c>
      <c r="F14" s="1">
        <v>91</v>
      </c>
      <c r="G14" s="1" t="s">
        <v>26</v>
      </c>
    </row>
    <row r="15" spans="1:11" x14ac:dyDescent="0.2">
      <c r="A15" s="1" t="s">
        <v>68</v>
      </c>
      <c r="B15" s="1" t="s">
        <v>69</v>
      </c>
      <c r="C15" s="1" t="s">
        <v>70</v>
      </c>
      <c r="D15" s="1" t="s">
        <v>25</v>
      </c>
      <c r="E15" s="1">
        <v>60</v>
      </c>
      <c r="F15" s="1"/>
      <c r="G15" s="1" t="s">
        <v>71</v>
      </c>
    </row>
    <row r="16" spans="1:11" x14ac:dyDescent="0.2">
      <c r="A16" s="1" t="s">
        <v>72</v>
      </c>
      <c r="B16" s="1" t="s">
        <v>73</v>
      </c>
      <c r="C16" s="1" t="s">
        <v>74</v>
      </c>
      <c r="D16" s="1" t="s">
        <v>25</v>
      </c>
      <c r="E16" s="1">
        <v>41</v>
      </c>
      <c r="F16" s="1">
        <v>88</v>
      </c>
      <c r="G16" s="1" t="s">
        <v>75</v>
      </c>
    </row>
    <row r="17" spans="1:7" x14ac:dyDescent="0.2">
      <c r="A17" s="1" t="s">
        <v>76</v>
      </c>
      <c r="B17" s="1" t="s">
        <v>77</v>
      </c>
      <c r="C17" s="1" t="s">
        <v>78</v>
      </c>
      <c r="D17" s="1" t="s">
        <v>25</v>
      </c>
      <c r="E17" s="1">
        <v>35</v>
      </c>
      <c r="F17" s="1">
        <v>90</v>
      </c>
      <c r="G17" s="1" t="s">
        <v>11</v>
      </c>
    </row>
    <row r="18" spans="1:7" x14ac:dyDescent="0.2">
      <c r="A18" s="1" t="s">
        <v>79</v>
      </c>
      <c r="B18" s="1" t="s">
        <v>80</v>
      </c>
      <c r="C18" s="1" t="s">
        <v>81</v>
      </c>
      <c r="D18" s="1" t="s">
        <v>32</v>
      </c>
      <c r="E18" s="1">
        <v>55</v>
      </c>
      <c r="F18" s="1">
        <v>96</v>
      </c>
      <c r="G18" s="1" t="s">
        <v>60</v>
      </c>
    </row>
    <row r="19" spans="1:7" x14ac:dyDescent="0.2">
      <c r="A19" s="1" t="s">
        <v>82</v>
      </c>
      <c r="B19" s="1" t="s">
        <v>83</v>
      </c>
      <c r="C19" s="1" t="s">
        <v>9</v>
      </c>
      <c r="D19" s="1" t="s">
        <v>10</v>
      </c>
      <c r="E19" s="1">
        <v>74</v>
      </c>
      <c r="F19" s="1">
        <v>71</v>
      </c>
      <c r="G19" s="1" t="s">
        <v>56</v>
      </c>
    </row>
    <row r="20" spans="1:7" x14ac:dyDescent="0.2">
      <c r="A20" s="1" t="s">
        <v>84</v>
      </c>
      <c r="B20" s="1" t="s">
        <v>85</v>
      </c>
      <c r="C20" s="1" t="s">
        <v>31</v>
      </c>
      <c r="D20" s="1" t="s">
        <v>32</v>
      </c>
      <c r="E20" s="1"/>
      <c r="F20" s="1">
        <v>62</v>
      </c>
      <c r="G20" s="1" t="s">
        <v>21</v>
      </c>
    </row>
    <row r="21" spans="1:7" x14ac:dyDescent="0.2">
      <c r="A21" s="1" t="s">
        <v>86</v>
      </c>
      <c r="B21" s="1" t="s">
        <v>87</v>
      </c>
      <c r="C21" s="1" t="s">
        <v>88</v>
      </c>
      <c r="D21" s="1" t="s">
        <v>25</v>
      </c>
      <c r="E21" s="1">
        <v>53</v>
      </c>
      <c r="F21" s="1">
        <v>100</v>
      </c>
      <c r="G21" s="1" t="s">
        <v>26</v>
      </c>
    </row>
    <row r="22" spans="1:7" x14ac:dyDescent="0.2">
      <c r="A22" s="1" t="s">
        <v>79</v>
      </c>
      <c r="B22" s="1" t="s">
        <v>80</v>
      </c>
      <c r="C22" s="1" t="s">
        <v>81</v>
      </c>
      <c r="D22" s="1" t="s">
        <v>32</v>
      </c>
      <c r="E22" s="1">
        <v>55</v>
      </c>
      <c r="F22" s="1">
        <v>96</v>
      </c>
      <c r="G22" s="1" t="s">
        <v>60</v>
      </c>
    </row>
    <row r="23" spans="1:7" x14ac:dyDescent="0.2">
      <c r="A23" s="1" t="s">
        <v>89</v>
      </c>
      <c r="B23" s="1" t="s">
        <v>90</v>
      </c>
      <c r="C23" s="1" t="s">
        <v>91</v>
      </c>
      <c r="D23" s="1" t="s">
        <v>32</v>
      </c>
      <c r="E23" s="1">
        <v>80</v>
      </c>
      <c r="F23" s="1">
        <v>67</v>
      </c>
      <c r="G23" s="1" t="s">
        <v>38</v>
      </c>
    </row>
    <row r="24" spans="1:7" x14ac:dyDescent="0.2">
      <c r="A24" s="1" t="s">
        <v>92</v>
      </c>
      <c r="B24" s="1" t="s">
        <v>93</v>
      </c>
      <c r="C24" s="1" t="s">
        <v>94</v>
      </c>
      <c r="D24" s="1" t="s">
        <v>10</v>
      </c>
      <c r="E24" s="1">
        <v>62</v>
      </c>
      <c r="F24" s="1">
        <v>83</v>
      </c>
      <c r="G24" s="1" t="s">
        <v>56</v>
      </c>
    </row>
    <row r="25" spans="1:7" x14ac:dyDescent="0.2">
      <c r="A25" s="1" t="s">
        <v>95</v>
      </c>
      <c r="B25" s="1" t="s">
        <v>96</v>
      </c>
      <c r="C25" s="1" t="s">
        <v>97</v>
      </c>
      <c r="D25" s="1" t="s">
        <v>10</v>
      </c>
      <c r="E25" s="1">
        <v>98</v>
      </c>
      <c r="F25" s="1">
        <v>92</v>
      </c>
      <c r="G25" s="1" t="s">
        <v>98</v>
      </c>
    </row>
    <row r="26" spans="1:7" x14ac:dyDescent="0.2">
      <c r="A26" s="1" t="s">
        <v>99</v>
      </c>
      <c r="B26" s="1" t="s">
        <v>100</v>
      </c>
      <c r="C26" s="1" t="s">
        <v>101</v>
      </c>
      <c r="D26" s="1" t="s">
        <v>10</v>
      </c>
      <c r="E26" s="1">
        <v>41</v>
      </c>
      <c r="F26" s="1">
        <v>62</v>
      </c>
      <c r="G26" s="1" t="s">
        <v>48</v>
      </c>
    </row>
    <row r="27" spans="1:7" x14ac:dyDescent="0.2">
      <c r="A27" s="1" t="s">
        <v>102</v>
      </c>
      <c r="B27" s="1" t="s">
        <v>103</v>
      </c>
      <c r="C27" s="1" t="s">
        <v>104</v>
      </c>
      <c r="D27" s="1" t="s">
        <v>32</v>
      </c>
      <c r="E27" s="1">
        <v>37</v>
      </c>
      <c r="F27" s="1">
        <v>73</v>
      </c>
      <c r="G27" s="1" t="s">
        <v>105</v>
      </c>
    </row>
    <row r="28" spans="1:7" x14ac:dyDescent="0.2">
      <c r="A28" s="1" t="s">
        <v>106</v>
      </c>
      <c r="B28" s="1" t="s">
        <v>107</v>
      </c>
      <c r="C28" s="1" t="s">
        <v>108</v>
      </c>
      <c r="D28" s="1" t="s">
        <v>25</v>
      </c>
      <c r="E28" s="1">
        <v>76</v>
      </c>
      <c r="F28" s="1">
        <v>80</v>
      </c>
      <c r="G28" s="1" t="s">
        <v>109</v>
      </c>
    </row>
    <row r="29" spans="1:7" x14ac:dyDescent="0.2">
      <c r="A29" s="1" t="s">
        <v>79</v>
      </c>
      <c r="B29" s="1" t="s">
        <v>80</v>
      </c>
      <c r="C29" s="1" t="s">
        <v>81</v>
      </c>
      <c r="D29" s="1" t="s">
        <v>32</v>
      </c>
      <c r="E29" s="1">
        <v>55</v>
      </c>
      <c r="F29" s="1">
        <v>96</v>
      </c>
      <c r="G29" s="1" t="s">
        <v>60</v>
      </c>
    </row>
    <row r="30" spans="1:7" x14ac:dyDescent="0.2">
      <c r="A30" s="1" t="s">
        <v>110</v>
      </c>
      <c r="B30" s="1" t="s">
        <v>111</v>
      </c>
      <c r="C30" s="1" t="s">
        <v>112</v>
      </c>
      <c r="D30" s="1" t="s">
        <v>25</v>
      </c>
      <c r="E30" s="1">
        <v>71</v>
      </c>
      <c r="F30" s="1">
        <v>84</v>
      </c>
      <c r="G30" s="1" t="s">
        <v>71</v>
      </c>
    </row>
    <row r="31" spans="1:7" x14ac:dyDescent="0.2">
      <c r="A31" s="1" t="s">
        <v>113</v>
      </c>
      <c r="B31" s="1" t="s">
        <v>114</v>
      </c>
      <c r="C31" s="1" t="s">
        <v>115</v>
      </c>
      <c r="D31" s="1" t="s">
        <v>25</v>
      </c>
      <c r="E31" s="1"/>
      <c r="F31" s="1">
        <v>65</v>
      </c>
      <c r="G31" s="1" t="s">
        <v>56</v>
      </c>
    </row>
    <row r="32" spans="1:7" x14ac:dyDescent="0.2">
      <c r="A32" s="1" t="s">
        <v>116</v>
      </c>
      <c r="B32" s="1" t="s">
        <v>117</v>
      </c>
      <c r="C32" s="1" t="s">
        <v>118</v>
      </c>
      <c r="D32" s="1" t="s">
        <v>10</v>
      </c>
      <c r="E32" s="1">
        <v>54</v>
      </c>
      <c r="F32" s="1">
        <v>99</v>
      </c>
      <c r="G32" s="1" t="s">
        <v>119</v>
      </c>
    </row>
    <row r="33" spans="1:7" x14ac:dyDescent="0.2">
      <c r="A33" s="1" t="s">
        <v>106</v>
      </c>
      <c r="B33" s="1" t="s">
        <v>120</v>
      </c>
      <c r="C33" s="1" t="s">
        <v>108</v>
      </c>
      <c r="D33" s="1" t="s">
        <v>25</v>
      </c>
      <c r="E33" s="1">
        <v>76</v>
      </c>
      <c r="F33" s="1">
        <v>80</v>
      </c>
      <c r="G33" s="1" t="s">
        <v>109</v>
      </c>
    </row>
    <row r="34" spans="1:7" x14ac:dyDescent="0.2">
      <c r="A34" s="1" t="s">
        <v>121</v>
      </c>
      <c r="B34" s="1" t="s">
        <v>122</v>
      </c>
      <c r="C34" s="1" t="s">
        <v>31</v>
      </c>
      <c r="D34" s="1" t="s">
        <v>32</v>
      </c>
      <c r="E34" s="1">
        <v>90</v>
      </c>
      <c r="F34" s="1">
        <v>66</v>
      </c>
      <c r="G34" s="1" t="s">
        <v>64</v>
      </c>
    </row>
    <row r="35" spans="1:7" x14ac:dyDescent="0.2">
      <c r="A35" s="1" t="s">
        <v>123</v>
      </c>
      <c r="B35" s="1" t="s">
        <v>124</v>
      </c>
      <c r="C35" s="1" t="s">
        <v>125</v>
      </c>
      <c r="D35" s="1" t="s">
        <v>10</v>
      </c>
      <c r="E35" s="1">
        <v>80</v>
      </c>
      <c r="F35" s="1">
        <v>91</v>
      </c>
      <c r="G35" s="1" t="s">
        <v>43</v>
      </c>
    </row>
    <row r="36" spans="1:7" x14ac:dyDescent="0.2">
      <c r="A36" s="1" t="s">
        <v>126</v>
      </c>
      <c r="B36" s="1" t="s">
        <v>127</v>
      </c>
      <c r="C36" s="1" t="s">
        <v>128</v>
      </c>
      <c r="D36" s="1" t="s">
        <v>32</v>
      </c>
      <c r="E36" s="1">
        <v>57</v>
      </c>
      <c r="F36" s="1">
        <v>72</v>
      </c>
      <c r="G36" s="1" t="s">
        <v>33</v>
      </c>
    </row>
    <row r="37" spans="1:7" x14ac:dyDescent="0.2">
      <c r="A37" s="1" t="s">
        <v>129</v>
      </c>
      <c r="B37" s="1" t="s">
        <v>130</v>
      </c>
      <c r="C37" s="1" t="s">
        <v>131</v>
      </c>
      <c r="D37" s="1" t="s">
        <v>32</v>
      </c>
      <c r="E37" s="1">
        <v>92</v>
      </c>
      <c r="F37" s="1">
        <v>87</v>
      </c>
      <c r="G37" s="1" t="s">
        <v>26</v>
      </c>
    </row>
    <row r="38" spans="1:7" x14ac:dyDescent="0.2">
      <c r="A38" s="1" t="s">
        <v>132</v>
      </c>
      <c r="B38" s="1" t="s">
        <v>133</v>
      </c>
      <c r="C38" s="1" t="s">
        <v>134</v>
      </c>
      <c r="D38" s="1" t="s">
        <v>10</v>
      </c>
      <c r="E38" s="1">
        <v>52</v>
      </c>
      <c r="F38" s="1">
        <v>84</v>
      </c>
      <c r="G38" s="1" t="s">
        <v>11</v>
      </c>
    </row>
    <row r="39" spans="1:7" x14ac:dyDescent="0.2">
      <c r="A39" s="1" t="s">
        <v>113</v>
      </c>
      <c r="B39" s="1" t="s">
        <v>135</v>
      </c>
      <c r="C39" s="1" t="s">
        <v>136</v>
      </c>
      <c r="D39" s="1" t="s">
        <v>25</v>
      </c>
      <c r="E39" s="1">
        <v>53</v>
      </c>
      <c r="F39" s="1">
        <v>65</v>
      </c>
      <c r="G39" s="1" t="s">
        <v>56</v>
      </c>
    </row>
    <row r="40" spans="1:7" x14ac:dyDescent="0.2">
      <c r="A40" s="1" t="s">
        <v>137</v>
      </c>
      <c r="B40" s="1" t="s">
        <v>138</v>
      </c>
      <c r="C40" s="1" t="s">
        <v>139</v>
      </c>
      <c r="D40" s="1" t="s">
        <v>25</v>
      </c>
      <c r="E40" s="1">
        <v>97</v>
      </c>
      <c r="F40" s="1">
        <v>88</v>
      </c>
      <c r="G40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009-59A7-E94B-964F-63B0FEC91A7B}">
  <dimension ref="A1:G40"/>
  <sheetViews>
    <sheetView workbookViewId="0">
      <selection activeCell="I6" sqref="I6"/>
    </sheetView>
  </sheetViews>
  <sheetFormatPr baseColWidth="10" defaultRowHeight="16" x14ac:dyDescent="0.2"/>
  <sheetData>
    <row r="1" spans="1:7" x14ac:dyDescent="0.2">
      <c r="A1" s="1" t="s">
        <v>0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145</v>
      </c>
    </row>
    <row r="2" spans="1:7" x14ac:dyDescent="0.2">
      <c r="A2" s="1" t="s">
        <v>7</v>
      </c>
      <c r="B2" s="3" t="str">
        <f>VLOOKUP($A2,[1]VLOOKUP!$A$2:$G$40,2,FALSE)</f>
        <v>S1000</v>
      </c>
      <c r="C2" s="3" t="str">
        <f>VLOOKUP($A2,[1]VLOOKUP!$A$2:$G$40,3,FALSE)</f>
        <v>Kumar</v>
      </c>
      <c r="D2" s="3" t="str">
        <f>VLOOKUP($A2,[1]VLOOKUP!$A$2:$G$40,4,FALSE)</f>
        <v>Arts</v>
      </c>
      <c r="E2" s="3">
        <f>VLOOKUP($A2,[1]VLOOKUP!$A$2:$G$40,5,FALSE)</f>
        <v>76</v>
      </c>
      <c r="F2" s="3">
        <f>VLOOKUP($A2,[1]VLOOKUP!$A$2:$G$40,6,FALSE)</f>
        <v>82</v>
      </c>
      <c r="G2" s="3" t="str">
        <f>VLOOKUP($A2,[1]VLOOKUP!$A$2:$G$40,7,FALSE)</f>
        <v>M22</v>
      </c>
    </row>
    <row r="3" spans="1:7" x14ac:dyDescent="0.2">
      <c r="A3" s="1" t="s">
        <v>13</v>
      </c>
      <c r="B3" s="3" t="str">
        <f>VLOOKUP($A3,[1]VLOOKUP!$A$2:$G$40,2,FALSE)</f>
        <v>S1001</v>
      </c>
      <c r="C3" s="3" t="str">
        <f>VLOOKUP($A3,[1]VLOOKUP!$A$2:$G$40,3,FALSE)</f>
        <v>Raj</v>
      </c>
      <c r="D3" s="3" t="str">
        <f>VLOOKUP($A3,[1]VLOOKUP!$A$2:$G$40,4,FALSE)</f>
        <v>arts</v>
      </c>
      <c r="E3" s="3">
        <f>VLOOKUP($A3,[1]VLOOKUP!$A$2:$G$40,5,FALSE)</f>
        <v>71</v>
      </c>
      <c r="F3" s="3">
        <f>VLOOKUP($A3,[1]VLOOKUP!$A$2:$G$40,6,FALSE)</f>
        <v>0</v>
      </c>
      <c r="G3" s="3" t="str">
        <f>VLOOKUP($A3,[1]VLOOKUP!$A$2:$G$40,7,FALSE)</f>
        <v>M34</v>
      </c>
    </row>
    <row r="4" spans="1:7" x14ac:dyDescent="0.2">
      <c r="A4" s="1" t="s">
        <v>18</v>
      </c>
      <c r="B4" s="3" t="str">
        <f>VLOOKUP($A4,[1]VLOOKUP!$A$2:$G$40,2,FALSE)</f>
        <v>S1002</v>
      </c>
      <c r="C4" s="3" t="str">
        <f>VLOOKUP($A4,[1]VLOOKUP!$A$2:$G$40,3,FALSE)</f>
        <v>Rani</v>
      </c>
      <c r="D4" s="3" t="str">
        <f>VLOOKUP($A4,[1]VLOOKUP!$A$2:$G$40,4,FALSE)</f>
        <v>Arts</v>
      </c>
      <c r="E4" s="3">
        <f>VLOOKUP($A4,[1]VLOOKUP!$A$2:$G$40,5,FALSE)</f>
        <v>39</v>
      </c>
      <c r="F4" s="3">
        <f>VLOOKUP($A4,[1]VLOOKUP!$A$2:$G$40,6,FALSE)</f>
        <v>65</v>
      </c>
      <c r="G4" s="3" t="str">
        <f>VLOOKUP($A4,[1]VLOOKUP!$A$2:$G$40,7,FALSE)</f>
        <v>F21</v>
      </c>
    </row>
    <row r="5" spans="1:7" x14ac:dyDescent="0.2">
      <c r="A5" s="1" t="s">
        <v>22</v>
      </c>
      <c r="B5" s="3" t="str">
        <f>VLOOKUP($A5,[1]VLOOKUP!$A$2:$G$40,2,FALSE)</f>
        <v>S1003</v>
      </c>
      <c r="C5" s="3" t="str">
        <f>VLOOKUP($A5,[1]VLOOKUP!$A$2:$G$40,3,FALSE)</f>
        <v>Babu</v>
      </c>
      <c r="D5" s="3" t="str">
        <f>VLOOKUP($A5,[1]VLOOKUP!$A$2:$G$40,4,FALSE)</f>
        <v>Commerce</v>
      </c>
      <c r="E5" s="3">
        <f>VLOOKUP($A5,[1]VLOOKUP!$A$2:$G$40,5,FALSE)</f>
        <v>72</v>
      </c>
      <c r="F5" s="3">
        <f>VLOOKUP($A5,[1]VLOOKUP!$A$2:$G$40,6,FALSE)</f>
        <v>93</v>
      </c>
      <c r="G5" s="3" t="str">
        <f>VLOOKUP($A5,[1]VLOOKUP!$A$2:$G$40,7,FALSE)</f>
        <v>M25</v>
      </c>
    </row>
    <row r="6" spans="1:7" x14ac:dyDescent="0.2">
      <c r="A6" s="1" t="s">
        <v>29</v>
      </c>
      <c r="B6" s="3" t="str">
        <f>VLOOKUP($A6,[1]VLOOKUP!$A$2:$G$40,2,FALSE)</f>
        <v>S1004</v>
      </c>
      <c r="C6" s="3" t="str">
        <f>VLOOKUP($A6,[1]VLOOKUP!$A$2:$G$40,3,FALSE)</f>
        <v>Devi</v>
      </c>
      <c r="D6" s="3" t="str">
        <f>VLOOKUP($A6,[1]VLOOKUP!$A$2:$G$40,4,FALSE)</f>
        <v>Science</v>
      </c>
      <c r="E6" s="3">
        <f>VLOOKUP($A6,[1]VLOOKUP!$A$2:$G$40,5,FALSE)</f>
        <v>60</v>
      </c>
      <c r="F6" s="3">
        <f>VLOOKUP($A6,[1]VLOOKUP!$A$2:$G$40,6,FALSE)</f>
        <v>73</v>
      </c>
      <c r="G6" s="3" t="str">
        <f>VLOOKUP($A6,[1]VLOOKUP!$A$2:$G$40,7,FALSE)</f>
        <v>F23</v>
      </c>
    </row>
    <row r="7" spans="1:7" x14ac:dyDescent="0.2">
      <c r="A7" s="1" t="s">
        <v>35</v>
      </c>
      <c r="B7" s="3" t="str">
        <f>VLOOKUP($A7,[1]VLOOKUP!$A$2:$G$40,2,FALSE)</f>
        <v>S1005</v>
      </c>
      <c r="C7" s="3" t="str">
        <f>VLOOKUP($A7,[1]VLOOKUP!$A$2:$G$40,3,FALSE)</f>
        <v>Muthu</v>
      </c>
      <c r="D7" s="3" t="str">
        <f>VLOOKUP($A7,[1]VLOOKUP!$A$2:$G$40,4,FALSE)</f>
        <v>Commerce</v>
      </c>
      <c r="E7" s="3">
        <f>VLOOKUP($A7,[1]VLOOKUP!$A$2:$G$40,5,FALSE)</f>
        <v>84</v>
      </c>
      <c r="F7" s="3">
        <f>VLOOKUP($A7,[1]VLOOKUP!$A$2:$G$40,6,FALSE)</f>
        <v>62</v>
      </c>
      <c r="G7" s="3" t="str">
        <f>VLOOKUP($A7,[1]VLOOKUP!$A$2:$G$40,7,FALSE)</f>
        <v>M26</v>
      </c>
    </row>
    <row r="8" spans="1:7" x14ac:dyDescent="0.2">
      <c r="A8" s="1" t="s">
        <v>40</v>
      </c>
      <c r="B8" s="3" t="str">
        <f>VLOOKUP($A8,[1]VLOOKUP!$A$2:$G$40,2,FALSE)</f>
        <v>S1006</v>
      </c>
      <c r="C8" s="3" t="str">
        <f>VLOOKUP($A8,[1]VLOOKUP!$A$2:$G$40,3,FALSE)</f>
        <v>Lakshmi</v>
      </c>
      <c r="D8" s="3" t="str">
        <f>VLOOKUP($A8,[1]VLOOKUP!$A$2:$G$40,4,FALSE)</f>
        <v>Arts</v>
      </c>
      <c r="E8" s="3">
        <f>VLOOKUP($A8,[1]VLOOKUP!$A$2:$G$40,5,FALSE)</f>
        <v>60</v>
      </c>
      <c r="F8" s="3">
        <f>VLOOKUP($A8,[1]VLOOKUP!$A$2:$G$40,6,FALSE)</f>
        <v>86</v>
      </c>
      <c r="G8" s="3" t="str">
        <f>VLOOKUP($A8,[1]VLOOKUP!$A$2:$G$40,7,FALSE)</f>
        <v>F29</v>
      </c>
    </row>
    <row r="9" spans="1:7" x14ac:dyDescent="0.2">
      <c r="A9" s="1" t="s">
        <v>45</v>
      </c>
      <c r="B9" s="3" t="str">
        <f>VLOOKUP($A9,[1]VLOOKUP!$A$2:$G$40,2,FALSE)</f>
        <v>S1007</v>
      </c>
      <c r="C9" s="3" t="str">
        <f>VLOOKUP($A9,[1]VLOOKUP!$A$2:$G$40,3,FALSE)</f>
        <v>Selvi</v>
      </c>
      <c r="D9" s="3" t="str">
        <f>VLOOKUP($A9,[1]VLOOKUP!$A$2:$G$40,4,FALSE)</f>
        <v>Commerce</v>
      </c>
      <c r="E9" s="3">
        <f>VLOOKUP($A9,[1]VLOOKUP!$A$2:$G$40,5,FALSE)</f>
        <v>98</v>
      </c>
      <c r="F9" s="3">
        <f>VLOOKUP($A9,[1]VLOOKUP!$A$2:$G$40,6,FALSE)</f>
        <v>96</v>
      </c>
      <c r="G9" s="3" t="str">
        <f>VLOOKUP($A9,[1]VLOOKUP!$A$2:$G$40,7,FALSE)</f>
        <v>F28</v>
      </c>
    </row>
    <row r="10" spans="1:7" x14ac:dyDescent="0.2">
      <c r="A10" s="1" t="s">
        <v>50</v>
      </c>
      <c r="B10" s="3" t="str">
        <f>VLOOKUP($A10,[1]VLOOKUP!$A$2:$G$40,2,FALSE)</f>
        <v>S1008</v>
      </c>
      <c r="C10" s="3" t="str">
        <f>VLOOKUP($A10,[1]VLOOKUP!$A$2:$G$40,3,FALSE)</f>
        <v>Velu</v>
      </c>
      <c r="D10" s="3" t="str">
        <f>VLOOKUP($A10,[1]VLOOKUP!$A$2:$G$40,4,FALSE)</f>
        <v>Commerce</v>
      </c>
      <c r="E10" s="3">
        <f>VLOOKUP($A10,[1]VLOOKUP!$A$2:$G$40,5,FALSE)</f>
        <v>44</v>
      </c>
      <c r="F10" s="3">
        <f>VLOOKUP($A10,[1]VLOOKUP!$A$2:$G$40,6,FALSE)</f>
        <v>95</v>
      </c>
      <c r="G10" s="3" t="str">
        <f>VLOOKUP($A10,[1]VLOOKUP!$A$2:$G$40,7,FALSE)</f>
        <v>M22</v>
      </c>
    </row>
    <row r="11" spans="1:7" x14ac:dyDescent="0.2">
      <c r="A11" s="1" t="s">
        <v>53</v>
      </c>
      <c r="B11" s="3" t="str">
        <f>VLOOKUP($A11,[1]VLOOKUP!$A$2:$G$40,2,FALSE)</f>
        <v>S1009</v>
      </c>
      <c r="C11" s="3" t="str">
        <f>VLOOKUP($A11,[1]VLOOKUP!$A$2:$G$40,3,FALSE)</f>
        <v>Gopi</v>
      </c>
      <c r="D11" s="3" t="str">
        <f>VLOOKUP($A11,[1]VLOOKUP!$A$2:$G$40,4,FALSE)</f>
        <v>Science</v>
      </c>
      <c r="E11" s="3">
        <f>VLOOKUP($A11,[1]VLOOKUP!$A$2:$G$40,5,FALSE)</f>
        <v>94</v>
      </c>
      <c r="F11" s="3">
        <f>VLOOKUP($A11,[1]VLOOKUP!$A$2:$G$40,6,FALSE)</f>
        <v>66</v>
      </c>
      <c r="G11" s="3" t="str">
        <f>VLOOKUP($A11,[1]VLOOKUP!$A$2:$G$40,7,FALSE)</f>
        <v>M23</v>
      </c>
    </row>
    <row r="12" spans="1:7" x14ac:dyDescent="0.2">
      <c r="A12" s="1" t="s">
        <v>57</v>
      </c>
      <c r="B12" s="3" t="str">
        <f>VLOOKUP($A12,[1]VLOOKUP!$A$2:$G$40,2,FALSE)</f>
        <v>S1010</v>
      </c>
      <c r="C12" s="3" t="str">
        <f>VLOOKUP($A12,[1]VLOOKUP!$A$2:$G$40,3,FALSE)</f>
        <v>Sekar</v>
      </c>
      <c r="D12" s="3" t="str">
        <f>VLOOKUP($A12,[1]VLOOKUP!$A$2:$G$40,4,FALSE)</f>
        <v>arts</v>
      </c>
      <c r="E12" s="3">
        <f>VLOOKUP($A12,[1]VLOOKUP!$A$2:$G$40,5,FALSE)</f>
        <v>0</v>
      </c>
      <c r="F12" s="3">
        <f>VLOOKUP($A12,[1]VLOOKUP!$A$2:$G$40,6,FALSE)</f>
        <v>65</v>
      </c>
      <c r="G12" s="3" t="str">
        <f>VLOOKUP($A12,[1]VLOOKUP!$A$2:$G$40,7,FALSE)</f>
        <v>M24</v>
      </c>
    </row>
    <row r="13" spans="1:7" x14ac:dyDescent="0.2">
      <c r="A13" s="1" t="s">
        <v>61</v>
      </c>
      <c r="B13" s="3" t="str">
        <f>VLOOKUP($A13,[1]VLOOKUP!$A$2:$G$40,2,FALSE)</f>
        <v>S1011</v>
      </c>
      <c r="C13" s="3" t="str">
        <f>VLOOKUP($A13,[1]VLOOKUP!$A$2:$G$40,3,FALSE)</f>
        <v>Raji</v>
      </c>
      <c r="D13" s="3" t="str">
        <f>VLOOKUP($A13,[1]VLOOKUP!$A$2:$G$40,4,FALSE)</f>
        <v>Science</v>
      </c>
      <c r="E13" s="3">
        <f>VLOOKUP($A13,[1]VLOOKUP!$A$2:$G$40,5,FALSE)</f>
        <v>51</v>
      </c>
      <c r="F13" s="3">
        <f>VLOOKUP($A13,[1]VLOOKUP!$A$2:$G$40,6,FALSE)</f>
        <v>61</v>
      </c>
      <c r="G13" s="3" t="str">
        <f>VLOOKUP($A13,[1]VLOOKUP!$A$2:$G$40,7,FALSE)</f>
        <v>F22</v>
      </c>
    </row>
    <row r="14" spans="1:7" x14ac:dyDescent="0.2">
      <c r="A14" s="1" t="s">
        <v>65</v>
      </c>
      <c r="B14" s="3" t="str">
        <f>VLOOKUP($A14,[1]VLOOKUP!$A$2:$G$40,2,FALSE)</f>
        <v>S1012</v>
      </c>
      <c r="C14" s="3" t="str">
        <f>VLOOKUP($A14,[1]VLOOKUP!$A$2:$G$40,3,FALSE)</f>
        <v>Arul</v>
      </c>
      <c r="D14" s="3" t="str">
        <f>VLOOKUP($A14,[1]VLOOKUP!$A$2:$G$40,4,FALSE)</f>
        <v>Arts</v>
      </c>
      <c r="E14" s="3">
        <f>VLOOKUP($A14,[1]VLOOKUP!$A$2:$G$40,5,FALSE)</f>
        <v>73</v>
      </c>
      <c r="F14" s="3">
        <f>VLOOKUP($A14,[1]VLOOKUP!$A$2:$G$40,6,FALSE)</f>
        <v>91</v>
      </c>
      <c r="G14" s="3" t="str">
        <f>VLOOKUP($A14,[1]VLOOKUP!$A$2:$G$40,7,FALSE)</f>
        <v>M25</v>
      </c>
    </row>
    <row r="15" spans="1:7" x14ac:dyDescent="0.2">
      <c r="A15" s="1" t="s">
        <v>68</v>
      </c>
      <c r="B15" s="3" t="str">
        <f>VLOOKUP($A15,[1]VLOOKUP!$A$2:$G$40,2,FALSE)</f>
        <v>S1013</v>
      </c>
      <c r="C15" s="3" t="str">
        <f>VLOOKUP($A15,[1]VLOOKUP!$A$2:$G$40,3,FALSE)</f>
        <v>Radha</v>
      </c>
      <c r="D15" s="3" t="str">
        <f>VLOOKUP($A15,[1]VLOOKUP!$A$2:$G$40,4,FALSE)</f>
        <v>Commerce</v>
      </c>
      <c r="E15" s="3">
        <f>VLOOKUP($A15,[1]VLOOKUP!$A$2:$G$40,5,FALSE)</f>
        <v>60</v>
      </c>
      <c r="F15" s="3">
        <f>VLOOKUP($A15,[1]VLOOKUP!$A$2:$G$40,6,FALSE)</f>
        <v>0</v>
      </c>
      <c r="G15" s="3" t="str">
        <f>VLOOKUP($A15,[1]VLOOKUP!$A$2:$G$40,7,FALSE)</f>
        <v>F26</v>
      </c>
    </row>
    <row r="16" spans="1:7" x14ac:dyDescent="0.2">
      <c r="A16" s="1" t="s">
        <v>72</v>
      </c>
      <c r="B16" s="3" t="str">
        <f>VLOOKUP($A16,[1]VLOOKUP!$A$2:$G$40,2,FALSE)</f>
        <v>S1014</v>
      </c>
      <c r="C16" s="3" t="str">
        <f>VLOOKUP($A16,[1]VLOOKUP!$A$2:$G$40,3,FALSE)</f>
        <v>Meena</v>
      </c>
      <c r="D16" s="3" t="str">
        <f>VLOOKUP($A16,[1]VLOOKUP!$A$2:$G$40,4,FALSE)</f>
        <v>Commerce</v>
      </c>
      <c r="E16" s="3">
        <f>VLOOKUP($A16,[1]VLOOKUP!$A$2:$G$40,5,FALSE)</f>
        <v>41</v>
      </c>
      <c r="F16" s="3">
        <f>VLOOKUP($A16,[1]VLOOKUP!$A$2:$G$40,6,FALSE)</f>
        <v>88</v>
      </c>
      <c r="G16" s="3" t="str">
        <f>VLOOKUP($A16,[1]VLOOKUP!$A$2:$G$40,7,FALSE)</f>
        <v>F27</v>
      </c>
    </row>
    <row r="17" spans="1:7" x14ac:dyDescent="0.2">
      <c r="A17" s="1" t="s">
        <v>76</v>
      </c>
      <c r="B17" s="3" t="str">
        <f>VLOOKUP($A17,[1]VLOOKUP!$A$2:$G$40,2,FALSE)</f>
        <v>S1015</v>
      </c>
      <c r="C17" s="3" t="str">
        <f>VLOOKUP($A17,[1]VLOOKUP!$A$2:$G$40,3,FALSE)</f>
        <v>Hari</v>
      </c>
      <c r="D17" s="3" t="str">
        <f>VLOOKUP($A17,[1]VLOOKUP!$A$2:$G$40,4,FALSE)</f>
        <v>Commerce</v>
      </c>
      <c r="E17" s="3">
        <f>VLOOKUP($A17,[1]VLOOKUP!$A$2:$G$40,5,FALSE)</f>
        <v>35</v>
      </c>
      <c r="F17" s="3">
        <f>VLOOKUP($A17,[1]VLOOKUP!$A$2:$G$40,6,FALSE)</f>
        <v>90</v>
      </c>
      <c r="G17" s="3" t="str">
        <f>VLOOKUP($A17,[1]VLOOKUP!$A$2:$G$40,7,FALSE)</f>
        <v>M22</v>
      </c>
    </row>
    <row r="18" spans="1:7" x14ac:dyDescent="0.2">
      <c r="A18" s="1" t="s">
        <v>79</v>
      </c>
      <c r="B18" s="3" t="str">
        <f>VLOOKUP($A18,[1]VLOOKUP!$A$2:$G$40,2,FALSE)</f>
        <v>S1016</v>
      </c>
      <c r="C18" s="3" t="str">
        <f>VLOOKUP($A18,[1]VLOOKUP!$A$2:$G$40,3,FALSE)</f>
        <v>Raja</v>
      </c>
      <c r="D18" s="3" t="str">
        <f>VLOOKUP($A18,[1]VLOOKUP!$A$2:$G$40,4,FALSE)</f>
        <v>Science</v>
      </c>
      <c r="E18" s="3">
        <f>VLOOKUP($A18,[1]VLOOKUP!$A$2:$G$40,5,FALSE)</f>
        <v>55</v>
      </c>
      <c r="F18" s="3">
        <f>VLOOKUP($A18,[1]VLOOKUP!$A$2:$G$40,6,FALSE)</f>
        <v>96</v>
      </c>
      <c r="G18" s="3" t="str">
        <f>VLOOKUP($A18,[1]VLOOKUP!$A$2:$G$40,7,FALSE)</f>
        <v>M24</v>
      </c>
    </row>
    <row r="19" spans="1:7" x14ac:dyDescent="0.2">
      <c r="A19" s="1" t="s">
        <v>82</v>
      </c>
      <c r="B19" s="3" t="str">
        <f>VLOOKUP($A19,[1]VLOOKUP!$A$2:$G$40,2,FALSE)</f>
        <v>S1017</v>
      </c>
      <c r="C19" s="3" t="str">
        <f>VLOOKUP($A19,[1]VLOOKUP!$A$2:$G$40,3,FALSE)</f>
        <v>Kumar</v>
      </c>
      <c r="D19" s="3" t="str">
        <f>VLOOKUP($A19,[1]VLOOKUP!$A$2:$G$40,4,FALSE)</f>
        <v>Arts</v>
      </c>
      <c r="E19" s="3">
        <f>VLOOKUP($A19,[1]VLOOKUP!$A$2:$G$40,5,FALSE)</f>
        <v>74</v>
      </c>
      <c r="F19" s="3">
        <f>VLOOKUP($A19,[1]VLOOKUP!$A$2:$G$40,6,FALSE)</f>
        <v>71</v>
      </c>
      <c r="G19" s="3" t="str">
        <f>VLOOKUP($A19,[1]VLOOKUP!$A$2:$G$40,7,FALSE)</f>
        <v>M23</v>
      </c>
    </row>
    <row r="20" spans="1:7" x14ac:dyDescent="0.2">
      <c r="A20" s="1" t="s">
        <v>84</v>
      </c>
      <c r="B20" s="3" t="str">
        <f>VLOOKUP($A20,[1]VLOOKUP!$A$2:$G$40,2,FALSE)</f>
        <v>S1018</v>
      </c>
      <c r="C20" s="3" t="str">
        <f>VLOOKUP($A20,[1]VLOOKUP!$A$2:$G$40,3,FALSE)</f>
        <v>Devi</v>
      </c>
      <c r="D20" s="3" t="str">
        <f>VLOOKUP($A20,[1]VLOOKUP!$A$2:$G$40,4,FALSE)</f>
        <v>Science</v>
      </c>
      <c r="E20" s="3">
        <f>VLOOKUP($A20,[1]VLOOKUP!$A$2:$G$40,5,FALSE)</f>
        <v>0</v>
      </c>
      <c r="F20" s="3">
        <f>VLOOKUP($A20,[1]VLOOKUP!$A$2:$G$40,6,FALSE)</f>
        <v>62</v>
      </c>
      <c r="G20" s="3" t="str">
        <f>VLOOKUP($A20,[1]VLOOKUP!$A$2:$G$40,7,FALSE)</f>
        <v>F21</v>
      </c>
    </row>
    <row r="21" spans="1:7" x14ac:dyDescent="0.2">
      <c r="A21" s="1" t="s">
        <v>86</v>
      </c>
      <c r="B21" s="3" t="str">
        <f>VLOOKUP($A21,[1]VLOOKUP!$A$2:$G$40,2,FALSE)</f>
        <v>S1019</v>
      </c>
      <c r="C21" s="3" t="str">
        <f>VLOOKUP($A21,[1]VLOOKUP!$A$2:$G$40,3,FALSE)</f>
        <v>Arasu</v>
      </c>
      <c r="D21" s="3" t="str">
        <f>VLOOKUP($A21,[1]VLOOKUP!$A$2:$G$40,4,FALSE)</f>
        <v>Commerce</v>
      </c>
      <c r="E21" s="3">
        <f>VLOOKUP($A21,[1]VLOOKUP!$A$2:$G$40,5,FALSE)</f>
        <v>53</v>
      </c>
      <c r="F21" s="3">
        <f>VLOOKUP($A21,[1]VLOOKUP!$A$2:$G$40,6,FALSE)</f>
        <v>100</v>
      </c>
      <c r="G21" s="3" t="str">
        <f>VLOOKUP($A21,[1]VLOOKUP!$A$2:$G$40,7,FALSE)</f>
        <v>M25</v>
      </c>
    </row>
    <row r="22" spans="1:7" x14ac:dyDescent="0.2">
      <c r="A22" s="1" t="s">
        <v>79</v>
      </c>
      <c r="B22" s="3" t="str">
        <f>VLOOKUP($A22,[1]VLOOKUP!$A$2:$G$40,2,FALSE)</f>
        <v>S1016</v>
      </c>
      <c r="C22" s="3" t="str">
        <f>VLOOKUP($A22,[1]VLOOKUP!$A$2:$G$40,3,FALSE)</f>
        <v>Raja</v>
      </c>
      <c r="D22" s="3" t="str">
        <f>VLOOKUP($A22,[1]VLOOKUP!$A$2:$G$40,4,FALSE)</f>
        <v>Science</v>
      </c>
      <c r="E22" s="3">
        <f>VLOOKUP($A22,[1]VLOOKUP!$A$2:$G$40,5,FALSE)</f>
        <v>55</v>
      </c>
      <c r="F22" s="3">
        <f>VLOOKUP($A22,[1]VLOOKUP!$A$2:$G$40,6,FALSE)</f>
        <v>96</v>
      </c>
      <c r="G22" s="3" t="str">
        <f>VLOOKUP($A22,[1]VLOOKUP!$A$2:$G$40,7,FALSE)</f>
        <v>M24</v>
      </c>
    </row>
    <row r="23" spans="1:7" x14ac:dyDescent="0.2">
      <c r="A23" s="1" t="s">
        <v>89</v>
      </c>
      <c r="B23" s="3" t="str">
        <f>VLOOKUP($A23,[1]VLOOKUP!$A$2:$G$40,2,FALSE)</f>
        <v>S1020</v>
      </c>
      <c r="C23" s="3" t="str">
        <f>VLOOKUP($A23,[1]VLOOKUP!$A$2:$G$40,3,FALSE)</f>
        <v>Bala</v>
      </c>
      <c r="D23" s="3" t="str">
        <f>VLOOKUP($A23,[1]VLOOKUP!$A$2:$G$40,4,FALSE)</f>
        <v>Science</v>
      </c>
      <c r="E23" s="3">
        <f>VLOOKUP($A23,[1]VLOOKUP!$A$2:$G$40,5,FALSE)</f>
        <v>80</v>
      </c>
      <c r="F23" s="3">
        <f>VLOOKUP($A23,[1]VLOOKUP!$A$2:$G$40,6,FALSE)</f>
        <v>67</v>
      </c>
      <c r="G23" s="3" t="str">
        <f>VLOOKUP($A23,[1]VLOOKUP!$A$2:$G$40,7,FALSE)</f>
        <v>M26</v>
      </c>
    </row>
    <row r="24" spans="1:7" x14ac:dyDescent="0.2">
      <c r="A24" s="1" t="s">
        <v>92</v>
      </c>
      <c r="B24" s="3" t="str">
        <f>VLOOKUP($A24,[1]VLOOKUP!$A$2:$G$40,2,FALSE)</f>
        <v>S1021</v>
      </c>
      <c r="C24" s="3" t="str">
        <f>VLOOKUP($A24,[1]VLOOKUP!$A$2:$G$40,3,FALSE)</f>
        <v>Gokul</v>
      </c>
      <c r="D24" s="3" t="str">
        <f>VLOOKUP($A24,[1]VLOOKUP!$A$2:$G$40,4,FALSE)</f>
        <v>Arts</v>
      </c>
      <c r="E24" s="3">
        <f>VLOOKUP($A24,[1]VLOOKUP!$A$2:$G$40,5,FALSE)</f>
        <v>62</v>
      </c>
      <c r="F24" s="3">
        <f>VLOOKUP($A24,[1]VLOOKUP!$A$2:$G$40,6,FALSE)</f>
        <v>83</v>
      </c>
      <c r="G24" s="3" t="str">
        <f>VLOOKUP($A24,[1]VLOOKUP!$A$2:$G$40,7,FALSE)</f>
        <v>M23</v>
      </c>
    </row>
    <row r="25" spans="1:7" x14ac:dyDescent="0.2">
      <c r="A25" s="1" t="s">
        <v>95</v>
      </c>
      <c r="B25" s="3" t="str">
        <f>VLOOKUP($A25,[1]VLOOKUP!$A$2:$G$40,2,FALSE)</f>
        <v>S1022</v>
      </c>
      <c r="C25" s="3" t="str">
        <f>VLOOKUP($A25,[1]VLOOKUP!$A$2:$G$40,3,FALSE)</f>
        <v>divya</v>
      </c>
      <c r="D25" s="3" t="str">
        <f>VLOOKUP($A25,[1]VLOOKUP!$A$2:$G$40,4,FALSE)</f>
        <v>Arts</v>
      </c>
      <c r="E25" s="3">
        <f>VLOOKUP($A25,[1]VLOOKUP!$A$2:$G$40,5,FALSE)</f>
        <v>98</v>
      </c>
      <c r="F25" s="3">
        <f>VLOOKUP($A25,[1]VLOOKUP!$A$2:$G$40,6,FALSE)</f>
        <v>92</v>
      </c>
      <c r="G25" s="3" t="str">
        <f>VLOOKUP($A25,[1]VLOOKUP!$A$2:$G$40,7,FALSE)</f>
        <v>F24</v>
      </c>
    </row>
    <row r="26" spans="1:7" x14ac:dyDescent="0.2">
      <c r="A26" s="1" t="s">
        <v>99</v>
      </c>
      <c r="B26" s="3" t="str">
        <f>VLOOKUP($A26,[1]VLOOKUP!$A$2:$G$40,2,FALSE)</f>
        <v>S1023</v>
      </c>
      <c r="C26" s="3" t="str">
        <f>VLOOKUP($A26,[1]VLOOKUP!$A$2:$G$40,3,FALSE)</f>
        <v>Yamuna</v>
      </c>
      <c r="D26" s="3" t="str">
        <f>VLOOKUP($A26,[1]VLOOKUP!$A$2:$G$40,4,FALSE)</f>
        <v>Arts</v>
      </c>
      <c r="E26" s="3">
        <f>VLOOKUP($A26,[1]VLOOKUP!$A$2:$G$40,5,FALSE)</f>
        <v>41</v>
      </c>
      <c r="F26" s="3">
        <f>VLOOKUP($A26,[1]VLOOKUP!$A$2:$G$40,6,FALSE)</f>
        <v>62</v>
      </c>
      <c r="G26" s="3" t="str">
        <f>VLOOKUP($A26,[1]VLOOKUP!$A$2:$G$40,7,FALSE)</f>
        <v>F28</v>
      </c>
    </row>
    <row r="27" spans="1:7" x14ac:dyDescent="0.2">
      <c r="A27" s="1" t="s">
        <v>102</v>
      </c>
      <c r="B27" s="3" t="str">
        <f>VLOOKUP($A27,[1]VLOOKUP!$A$2:$G$40,2,FALSE)</f>
        <v>S1024</v>
      </c>
      <c r="C27" s="3" t="str">
        <f>VLOOKUP($A27,[1]VLOOKUP!$A$2:$G$40,3,FALSE)</f>
        <v>Nila</v>
      </c>
      <c r="D27" s="3" t="str">
        <f>VLOOKUP($A27,[1]VLOOKUP!$A$2:$G$40,4,FALSE)</f>
        <v>Science</v>
      </c>
      <c r="E27" s="3">
        <f>VLOOKUP($A27,[1]VLOOKUP!$A$2:$G$40,5,FALSE)</f>
        <v>37</v>
      </c>
      <c r="F27" s="3">
        <f>VLOOKUP($A27,[1]VLOOKUP!$A$2:$G$40,6,FALSE)</f>
        <v>73</v>
      </c>
      <c r="G27" s="3" t="str">
        <f>VLOOKUP($A27,[1]VLOOKUP!$A$2:$G$40,7,FALSE)</f>
        <v>F25</v>
      </c>
    </row>
    <row r="28" spans="1:7" x14ac:dyDescent="0.2">
      <c r="A28" s="1" t="s">
        <v>106</v>
      </c>
      <c r="B28" s="3" t="str">
        <f>VLOOKUP($A28,[1]VLOOKUP!$A$2:$G$40,2,FALSE)</f>
        <v>S1025</v>
      </c>
      <c r="C28" s="3" t="str">
        <f>VLOOKUP($A28,[1]VLOOKUP!$A$2:$G$40,3,FALSE)</f>
        <v>Ramu</v>
      </c>
      <c r="D28" s="3" t="str">
        <f>VLOOKUP($A28,[1]VLOOKUP!$A$2:$G$40,4,FALSE)</f>
        <v>Commerce</v>
      </c>
      <c r="E28" s="3">
        <f>VLOOKUP($A28,[1]VLOOKUP!$A$2:$G$40,5,FALSE)</f>
        <v>76</v>
      </c>
      <c r="F28" s="3">
        <f>VLOOKUP($A28,[1]VLOOKUP!$A$2:$G$40,6,FALSE)</f>
        <v>80</v>
      </c>
      <c r="G28" s="3" t="str">
        <f>VLOOKUP($A28,[1]VLOOKUP!$A$2:$G$40,7,FALSE)</f>
        <v>M27</v>
      </c>
    </row>
    <row r="29" spans="1:7" x14ac:dyDescent="0.2">
      <c r="A29" s="1" t="s">
        <v>79</v>
      </c>
      <c r="B29" s="3" t="str">
        <f>VLOOKUP($A29,[1]VLOOKUP!$A$2:$G$40,2,FALSE)</f>
        <v>S1016</v>
      </c>
      <c r="C29" s="3" t="str">
        <f>VLOOKUP($A29,[1]VLOOKUP!$A$2:$G$40,3,FALSE)</f>
        <v>Raja</v>
      </c>
      <c r="D29" s="3" t="str">
        <f>VLOOKUP($A29,[1]VLOOKUP!$A$2:$G$40,4,FALSE)</f>
        <v>Science</v>
      </c>
      <c r="E29" s="3">
        <f>VLOOKUP($A29,[1]VLOOKUP!$A$2:$G$40,5,FALSE)</f>
        <v>55</v>
      </c>
      <c r="F29" s="3">
        <f>VLOOKUP($A29,[1]VLOOKUP!$A$2:$G$40,6,FALSE)</f>
        <v>96</v>
      </c>
      <c r="G29" s="3" t="str">
        <f>VLOOKUP($A29,[1]VLOOKUP!$A$2:$G$40,7,FALSE)</f>
        <v>M24</v>
      </c>
    </row>
    <row r="30" spans="1:7" x14ac:dyDescent="0.2">
      <c r="A30" s="1" t="s">
        <v>110</v>
      </c>
      <c r="B30" s="3" t="str">
        <f>VLOOKUP($A30,[1]VLOOKUP!$A$2:$G$40,2,FALSE)</f>
        <v>S1026</v>
      </c>
      <c r="C30" s="3" t="str">
        <f>VLOOKUP($A30,[1]VLOOKUP!$A$2:$G$40,3,FALSE)</f>
        <v>Banu</v>
      </c>
      <c r="D30" s="3" t="str">
        <f>VLOOKUP($A30,[1]VLOOKUP!$A$2:$G$40,4,FALSE)</f>
        <v>Commerce</v>
      </c>
      <c r="E30" s="3">
        <f>VLOOKUP($A30,[1]VLOOKUP!$A$2:$G$40,5,FALSE)</f>
        <v>71</v>
      </c>
      <c r="F30" s="3">
        <f>VLOOKUP($A30,[1]VLOOKUP!$A$2:$G$40,6,FALSE)</f>
        <v>84</v>
      </c>
      <c r="G30" s="3" t="str">
        <f>VLOOKUP($A30,[1]VLOOKUP!$A$2:$G$40,7,FALSE)</f>
        <v>F26</v>
      </c>
    </row>
    <row r="31" spans="1:7" x14ac:dyDescent="0.2">
      <c r="A31" s="1" t="s">
        <v>113</v>
      </c>
      <c r="B31" s="3" t="str">
        <f>VLOOKUP($A31,[1]VLOOKUP!$A$2:$G$40,2,FALSE)</f>
        <v>S1027</v>
      </c>
      <c r="C31" s="3" t="str">
        <f>VLOOKUP($A31,[1]VLOOKUP!$A$2:$G$40,3,FALSE)</f>
        <v>Kani</v>
      </c>
      <c r="D31" s="3" t="str">
        <f>VLOOKUP($A31,[1]VLOOKUP!$A$2:$G$40,4,FALSE)</f>
        <v>Commerce</v>
      </c>
      <c r="E31" s="3">
        <f>VLOOKUP($A31,[1]VLOOKUP!$A$2:$G$40,5,FALSE)</f>
        <v>0</v>
      </c>
      <c r="F31" s="3">
        <f>VLOOKUP($A31,[1]VLOOKUP!$A$2:$G$40,6,FALSE)</f>
        <v>65</v>
      </c>
      <c r="G31" s="3" t="str">
        <f>VLOOKUP($A31,[1]VLOOKUP!$A$2:$G$40,7,FALSE)</f>
        <v>M23</v>
      </c>
    </row>
    <row r="32" spans="1:7" x14ac:dyDescent="0.2">
      <c r="A32" s="1" t="s">
        <v>116</v>
      </c>
      <c r="B32" s="3" t="str">
        <f>VLOOKUP($A32,[1]VLOOKUP!$A$2:$G$40,2,FALSE)</f>
        <v>S1028</v>
      </c>
      <c r="C32" s="3" t="str">
        <f>VLOOKUP($A32,[1]VLOOKUP!$A$2:$G$40,3,FALSE)</f>
        <v>Selvam</v>
      </c>
      <c r="D32" s="3" t="str">
        <f>VLOOKUP($A32,[1]VLOOKUP!$A$2:$G$40,4,FALSE)</f>
        <v>Arts</v>
      </c>
      <c r="E32" s="3">
        <f>VLOOKUP($A32,[1]VLOOKUP!$A$2:$G$40,5,FALSE)</f>
        <v>54</v>
      </c>
      <c r="F32" s="3">
        <f>VLOOKUP($A32,[1]VLOOKUP!$A$2:$G$40,6,FALSE)</f>
        <v>99</v>
      </c>
      <c r="G32" s="3" t="str">
        <f>VLOOKUP($A32,[1]VLOOKUP!$A$2:$G$40,7,FALSE)</f>
        <v>M28</v>
      </c>
    </row>
    <row r="33" spans="1:7" x14ac:dyDescent="0.2">
      <c r="A33" s="1" t="s">
        <v>106</v>
      </c>
      <c r="B33" s="3" t="str">
        <f>VLOOKUP($A33,[1]VLOOKUP!$A$2:$G$40,2,FALSE)</f>
        <v>S1025</v>
      </c>
      <c r="C33" s="3" t="str">
        <f>VLOOKUP($A33,[1]VLOOKUP!$A$2:$G$40,3,FALSE)</f>
        <v>Ramu</v>
      </c>
      <c r="D33" s="3" t="str">
        <f>VLOOKUP($A33,[1]VLOOKUP!$A$2:$G$40,4,FALSE)</f>
        <v>Commerce</v>
      </c>
      <c r="E33" s="3">
        <f>VLOOKUP($A33,[1]VLOOKUP!$A$2:$G$40,5,FALSE)</f>
        <v>76</v>
      </c>
      <c r="F33" s="3">
        <f>VLOOKUP($A33,[1]VLOOKUP!$A$2:$G$40,6,FALSE)</f>
        <v>80</v>
      </c>
      <c r="G33" s="3" t="str">
        <f>VLOOKUP($A33,[1]VLOOKUP!$A$2:$G$40,7,FALSE)</f>
        <v>M27</v>
      </c>
    </row>
    <row r="34" spans="1:7" x14ac:dyDescent="0.2">
      <c r="A34" s="1" t="s">
        <v>121</v>
      </c>
      <c r="B34" s="3" t="str">
        <f>VLOOKUP($A34,[1]VLOOKUP!$A$2:$G$40,2,FALSE)</f>
        <v>S1030</v>
      </c>
      <c r="C34" s="3" t="str">
        <f>VLOOKUP($A34,[1]VLOOKUP!$A$2:$G$40,3,FALSE)</f>
        <v>Devi</v>
      </c>
      <c r="D34" s="3" t="str">
        <f>VLOOKUP($A34,[1]VLOOKUP!$A$2:$G$40,4,FALSE)</f>
        <v>Science</v>
      </c>
      <c r="E34" s="3">
        <f>VLOOKUP($A34,[1]VLOOKUP!$A$2:$G$40,5,FALSE)</f>
        <v>90</v>
      </c>
      <c r="F34" s="3">
        <f>VLOOKUP($A34,[1]VLOOKUP!$A$2:$G$40,6,FALSE)</f>
        <v>66</v>
      </c>
      <c r="G34" s="3" t="str">
        <f>VLOOKUP($A34,[1]VLOOKUP!$A$2:$G$40,7,FALSE)</f>
        <v>F22</v>
      </c>
    </row>
    <row r="35" spans="1:7" x14ac:dyDescent="0.2">
      <c r="A35" s="1" t="s">
        <v>123</v>
      </c>
      <c r="B35" s="3" t="str">
        <f>VLOOKUP($A35,[1]VLOOKUP!$A$2:$G$40,2,FALSE)</f>
        <v>S1031</v>
      </c>
      <c r="C35" s="3" t="str">
        <f>VLOOKUP($A35,[1]VLOOKUP!$A$2:$G$40,3,FALSE)</f>
        <v>Nithya</v>
      </c>
      <c r="D35" s="3" t="str">
        <f>VLOOKUP($A35,[1]VLOOKUP!$A$2:$G$40,4,FALSE)</f>
        <v>Arts</v>
      </c>
      <c r="E35" s="3">
        <f>VLOOKUP($A35,[1]VLOOKUP!$A$2:$G$40,5,FALSE)</f>
        <v>80</v>
      </c>
      <c r="F35" s="3">
        <f>VLOOKUP($A35,[1]VLOOKUP!$A$2:$G$40,6,FALSE)</f>
        <v>91</v>
      </c>
      <c r="G35" s="3" t="str">
        <f>VLOOKUP($A35,[1]VLOOKUP!$A$2:$G$40,7,FALSE)</f>
        <v>F29</v>
      </c>
    </row>
    <row r="36" spans="1:7" x14ac:dyDescent="0.2">
      <c r="A36" s="1" t="s">
        <v>126</v>
      </c>
      <c r="B36" s="3" t="str">
        <f>VLOOKUP($A36,[1]VLOOKUP!$A$2:$G$40,2,FALSE)</f>
        <v>S1032</v>
      </c>
      <c r="C36" s="3" t="str">
        <f>VLOOKUP($A36,[1]VLOOKUP!$A$2:$G$40,3,FALSE)</f>
        <v>Uma</v>
      </c>
      <c r="D36" s="3" t="str">
        <f>VLOOKUP($A36,[1]VLOOKUP!$A$2:$G$40,4,FALSE)</f>
        <v>Science</v>
      </c>
      <c r="E36" s="3">
        <f>VLOOKUP($A36,[1]VLOOKUP!$A$2:$G$40,5,FALSE)</f>
        <v>57</v>
      </c>
      <c r="F36" s="3">
        <f>VLOOKUP($A36,[1]VLOOKUP!$A$2:$G$40,6,FALSE)</f>
        <v>72</v>
      </c>
      <c r="G36" s="3" t="str">
        <f>VLOOKUP($A36,[1]VLOOKUP!$A$2:$G$40,7,FALSE)</f>
        <v>F23</v>
      </c>
    </row>
    <row r="37" spans="1:7" x14ac:dyDescent="0.2">
      <c r="A37" s="1" t="s">
        <v>129</v>
      </c>
      <c r="B37" s="3" t="str">
        <f>VLOOKUP($A37,[1]VLOOKUP!$A$2:$G$40,2,FALSE)</f>
        <v>S1033</v>
      </c>
      <c r="C37" s="3" t="str">
        <f>VLOOKUP($A37,[1]VLOOKUP!$A$2:$G$40,3,FALSE)</f>
        <v>Guru</v>
      </c>
      <c r="D37" s="3" t="str">
        <f>VLOOKUP($A37,[1]VLOOKUP!$A$2:$G$40,4,FALSE)</f>
        <v>Science</v>
      </c>
      <c r="E37" s="3">
        <f>VLOOKUP($A37,[1]VLOOKUP!$A$2:$G$40,5,FALSE)</f>
        <v>92</v>
      </c>
      <c r="F37" s="3">
        <f>VLOOKUP($A37,[1]VLOOKUP!$A$2:$G$40,6,FALSE)</f>
        <v>87</v>
      </c>
      <c r="G37" s="3" t="str">
        <f>VLOOKUP($A37,[1]VLOOKUP!$A$2:$G$40,7,FALSE)</f>
        <v>M25</v>
      </c>
    </row>
    <row r="38" spans="1:7" x14ac:dyDescent="0.2">
      <c r="A38" s="1" t="s">
        <v>132</v>
      </c>
      <c r="B38" s="3" t="str">
        <f>VLOOKUP($A38,[1]VLOOKUP!$A$2:$G$40,2,FALSE)</f>
        <v>S1034</v>
      </c>
      <c r="C38" s="3" t="str">
        <f>VLOOKUP($A38,[1]VLOOKUP!$A$2:$G$40,3,FALSE)</f>
        <v>Vignesh</v>
      </c>
      <c r="D38" s="3" t="str">
        <f>VLOOKUP($A38,[1]VLOOKUP!$A$2:$G$40,4,FALSE)</f>
        <v>Arts</v>
      </c>
      <c r="E38" s="3">
        <f>VLOOKUP($A38,[1]VLOOKUP!$A$2:$G$40,5,FALSE)</f>
        <v>52</v>
      </c>
      <c r="F38" s="3">
        <f>VLOOKUP($A38,[1]VLOOKUP!$A$2:$G$40,6,FALSE)</f>
        <v>84</v>
      </c>
      <c r="G38" s="3" t="str">
        <f>VLOOKUP($A38,[1]VLOOKUP!$A$2:$G$40,7,FALSE)</f>
        <v>M22</v>
      </c>
    </row>
    <row r="39" spans="1:7" x14ac:dyDescent="0.2">
      <c r="A39" s="1" t="s">
        <v>113</v>
      </c>
      <c r="B39" s="3" t="str">
        <f>VLOOKUP($A39,[1]VLOOKUP!$A$2:$G$40,2,FALSE)</f>
        <v>S1027</v>
      </c>
      <c r="C39" s="3" t="str">
        <f>VLOOKUP($A39,[1]VLOOKUP!$A$2:$G$40,3,FALSE)</f>
        <v>Kani</v>
      </c>
      <c r="D39" s="3" t="str">
        <f>VLOOKUP($A39,[1]VLOOKUP!$A$2:$G$40,4,FALSE)</f>
        <v>Commerce</v>
      </c>
      <c r="E39" s="3">
        <f>VLOOKUP($A39,[1]VLOOKUP!$A$2:$G$40,5,FALSE)</f>
        <v>0</v>
      </c>
      <c r="F39" s="3">
        <f>VLOOKUP($A39,[1]VLOOKUP!$A$2:$G$40,6,FALSE)</f>
        <v>65</v>
      </c>
      <c r="G39" s="3" t="str">
        <f>VLOOKUP($A39,[1]VLOOKUP!$A$2:$G$40,7,FALSE)</f>
        <v>M23</v>
      </c>
    </row>
    <row r="40" spans="1:7" x14ac:dyDescent="0.2">
      <c r="A40" s="1" t="s">
        <v>137</v>
      </c>
      <c r="B40" s="3" t="str">
        <f>VLOOKUP($A40,[1]VLOOKUP!$A$2:$G$40,2,FALSE)</f>
        <v>S1036</v>
      </c>
      <c r="C40" s="3" t="str">
        <f>VLOOKUP($A40,[1]VLOOKUP!$A$2:$G$40,3,FALSE)</f>
        <v>Prakash</v>
      </c>
      <c r="D40" s="3" t="str">
        <f>VLOOKUP($A40,[1]VLOOKUP!$A$2:$G$40,4,FALSE)</f>
        <v>Commerce</v>
      </c>
      <c r="E40" s="3">
        <f>VLOOKUP($A40,[1]VLOOKUP!$A$2:$G$40,5,FALSE)</f>
        <v>97</v>
      </c>
      <c r="F40" s="3">
        <f>VLOOKUP($A40,[1]VLOOKUP!$A$2:$G$40,6,FALSE)</f>
        <v>88</v>
      </c>
      <c r="G40" s="3" t="str">
        <f>VLOOKUP($A40,[1]VLOOKUP!$A$2:$G$40,7,FALSE)</f>
        <v>M24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Duplicate vlookup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2026-01-23T13:19:43Z</dcterms:created>
  <dcterms:modified xsi:type="dcterms:W3CDTF">2026-01-23T15:35:56Z</dcterms:modified>
</cp:coreProperties>
</file>